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0B4DE1576653A256/Documents/"/>
    </mc:Choice>
  </mc:AlternateContent>
  <xr:revisionPtr revIDLastSave="0" documentId="8_{1DEEA668-B7D5-4461-926F-7BD658CC034C}" xr6:coauthVersionLast="47" xr6:coauthVersionMax="47" xr10:uidLastSave="{00000000-0000-0000-0000-000000000000}"/>
  <bookViews>
    <workbookView xWindow="-108" yWindow="-108" windowWidth="23256" windowHeight="12456" firstSheet="1" activeTab="2" xr2:uid="{006481BB-5857-445F-95DB-CBD1C1BBAA82}"/>
  </bookViews>
  <sheets>
    <sheet name="Wage Data " sheetId="1" r:id="rId1"/>
    <sheet name="Solved Task" sheetId="3" r:id="rId2"/>
    <sheet name="Sheet3" sheetId="6" r:id="rId3"/>
    <sheet name="Sheet4" sheetId="7" r:id="rId4"/>
    <sheet name="Sheet2" sheetId="5" r:id="rId5"/>
    <sheet name="Sheet1" sheetId="4" r:id="rId6"/>
  </sheets>
  <definedNames>
    <definedName name="_xlcn.WorksheetConnection_Module4Exercise1.xlsxTable37691" hidden="1">Table3769</definedName>
  </definedNames>
  <calcPr calcId="191028"/>
  <pivotCaches>
    <pivotCache cacheId="3" r:id="rId7"/>
    <pivotCache cacheId="31" r:id="rId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769" name="Table3769" connection="WorksheetConnection_Module 4 - Exercise 1.xlsx!Table376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8" i="3" l="1"/>
  <c r="I68" i="3"/>
  <c r="J67" i="3"/>
  <c r="I67" i="3"/>
  <c r="J66" i="3"/>
  <c r="I66" i="3"/>
  <c r="J65" i="3"/>
  <c r="I65" i="3"/>
  <c r="J64" i="3"/>
  <c r="I64" i="3"/>
  <c r="K43" i="3"/>
  <c r="K42" i="3"/>
  <c r="K41" i="3"/>
  <c r="K4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641C74-17AA-4BD7-9863-469D8F3875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6F31AC3-526E-42CA-85E9-B3D007A3857F}" name="WorksheetConnection_Module 4 - Exercise 1.xlsx!Table3769" type="102" refreshedVersion="8" minRefreshableVersion="5">
    <extLst>
      <ext xmlns:x15="http://schemas.microsoft.com/office/spreadsheetml/2010/11/main" uri="{DE250136-89BD-433C-8126-D09CA5730AF9}">
        <x15:connection id="Table3769" autoDelete="1">
          <x15:rangePr sourceName="_xlcn.WorksheetConnection_Module4Exercise1.xlsxTable37691"/>
        </x15:connection>
      </ext>
    </extLst>
  </connection>
</connections>
</file>

<file path=xl/sharedStrings.xml><?xml version="1.0" encoding="utf-8"?>
<sst xmlns="http://schemas.openxmlformats.org/spreadsheetml/2006/main" count="161" uniqueCount="38">
  <si>
    <t>Female</t>
  </si>
  <si>
    <t>Row Labels</t>
  </si>
  <si>
    <t>2021</t>
  </si>
  <si>
    <t>2022</t>
  </si>
  <si>
    <t>2023</t>
  </si>
  <si>
    <t>2024</t>
  </si>
  <si>
    <t>2025</t>
  </si>
  <si>
    <t>High income</t>
  </si>
  <si>
    <t>Low income</t>
  </si>
  <si>
    <t>Lower middle income</t>
  </si>
  <si>
    <t>Upper middle income</t>
  </si>
  <si>
    <t>Average Female</t>
  </si>
  <si>
    <t>Male</t>
  </si>
  <si>
    <t>Income Levels</t>
  </si>
  <si>
    <t>Average Male</t>
  </si>
  <si>
    <t>Source: Wage and salaried workers, female (% of female employment) (modeled ILO estimate)</t>
  </si>
  <si>
    <t xml:space="preserve">Task 1: Create a trend analysis over time of the mean wages from 2021 to 2025 by Income Level </t>
  </si>
  <si>
    <t>]</t>
  </si>
  <si>
    <t xml:space="preserve">Task 2: Create a comparative analysis of average  income in 2025 by Income Level			</t>
  </si>
  <si>
    <t>Task 3: Create a chart comparing the changes from 2021 to 2025 across both genders</t>
  </si>
  <si>
    <t xml:space="preserve">Task 2: Create a comparative analysis of average participation rate  in 2025 by Income Level			</t>
  </si>
  <si>
    <t>Difference</t>
  </si>
  <si>
    <t>Difference 2021 to 2025</t>
  </si>
  <si>
    <t>World</t>
  </si>
  <si>
    <t>Grand Total</t>
  </si>
  <si>
    <t>Sum of 2021</t>
  </si>
  <si>
    <t>Sum of 2022</t>
  </si>
  <si>
    <t>Sum of 2023</t>
  </si>
  <si>
    <t>Sum of 2024</t>
  </si>
  <si>
    <t>Sum of 2025</t>
  </si>
  <si>
    <t>Using the Clustered Column Chart comparing wage and salaried workers by income level and gender in 2025, I would make the following changes to improve its clarity, accuracy, and effectiveness.</t>
  </si>
  <si>
    <t>1. Simplify the legend: Instead of displaying eight different income-level categories, I would use only two categories, Male and Female, with distinct colours.</t>
  </si>
  <si>
    <t>2. Improve the X-axis labels: I would display the four income levels (High, Upper-middle, Lower-middle, and Low income) clearly on the horizontal axis.</t>
  </si>
  <si>
    <t>3. Use consistent colours: I would assign one colour to male workers and another to female workers throughout the chart to make comparisons easier.</t>
  </si>
  <si>
    <t>4. Improve the chart title: I would use a clear and descriptive title, such as "Wage and Salaried Employment by Income Level and Gender (2025)."</t>
  </si>
  <si>
    <t>5. Add appropriate axis labels: The Y-axis would be labelled "Wage and Salaried Workers (% of Total Employment)" to accurately communicate what is being measured.</t>
  </si>
  <si>
    <t>6. Reduce visual clutter: I would remove unnecessary borders, excessive gridlines, and repeated labels to make the chart cleaner and more professional.</t>
  </si>
  <si>
    <t>7. Highlight key insights: I would retain data labels to help viewers identify the differences between male and female employment, particularly the 10.1-percentage-point gender gap in low-income econom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</si>
</sst>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b/>
      <sz val="11"/>
      <color theme="1"/>
      <name val="Aptos Narrow"/>
      <family val="2"/>
      <scheme val="minor"/>
    </font>
    <font>
      <b/>
      <sz val="11"/>
      <color rgb="FFC00000"/>
      <name val="Calibri"/>
      <family val="2"/>
    </font>
    <font>
      <b/>
      <i/>
      <sz val="11"/>
      <color theme="1"/>
      <name val="Aptos Narrow"/>
      <family val="2"/>
      <scheme val="minor"/>
    </font>
    <font>
      <sz val="11"/>
      <color theme="8"/>
      <name val="Aptos Narrow"/>
      <family val="2"/>
      <scheme val="minor"/>
    </font>
    <font>
      <sz val="11"/>
      <color theme="6"/>
      <name val="Aptos Narrow"/>
      <family val="2"/>
      <scheme val="minor"/>
    </font>
    <font>
      <b/>
      <sz val="11"/>
      <name val="Aptos Narrow"/>
      <family val="2"/>
      <scheme val="minor"/>
    </font>
    <font>
      <b/>
      <sz val="11"/>
      <color theme="8"/>
      <name val="Aptos Narrow"/>
      <family val="2"/>
      <scheme val="minor"/>
    </font>
    <font>
      <b/>
      <sz val="11"/>
      <color theme="6"/>
      <name val="Aptos Narrow"/>
      <family val="2"/>
      <scheme val="minor"/>
    </font>
    <font>
      <b/>
      <sz val="11"/>
      <color rgb="FFFFC000"/>
      <name val="Aptos Narrow"/>
      <family val="2"/>
      <scheme val="minor"/>
    </font>
    <font>
      <sz val="11"/>
      <name val="Aptos Narrow"/>
      <family val="2"/>
      <scheme val="minor"/>
    </font>
  </fonts>
  <fills count="10">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rgb="FF000000"/>
      </patternFill>
    </fill>
    <fill>
      <patternFill patternType="solid">
        <fgColor theme="0"/>
        <bgColor theme="8"/>
      </patternFill>
    </fill>
    <fill>
      <patternFill patternType="solid">
        <fgColor theme="0"/>
        <bgColor theme="8" tint="0.79998168889431442"/>
      </patternFill>
    </fill>
    <fill>
      <patternFill patternType="solid">
        <fgColor theme="0"/>
        <bgColor theme="6" tint="0.79998168889431442"/>
      </patternFill>
    </fill>
    <fill>
      <patternFill patternType="solid">
        <fgColor theme="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2" borderId="0" xfId="0" applyFill="1"/>
    <xf numFmtId="164" fontId="0" fillId="0" borderId="0" xfId="0" applyNumberFormat="1"/>
    <xf numFmtId="0" fontId="3" fillId="0" borderId="0" xfId="0" applyFont="1"/>
    <xf numFmtId="164" fontId="0" fillId="2" borderId="0" xfId="0" applyNumberFormat="1" applyFill="1"/>
    <xf numFmtId="0" fontId="0" fillId="2" borderId="0" xfId="0" applyFill="1" applyAlignment="1">
      <alignment horizontal="left"/>
    </xf>
    <xf numFmtId="0" fontId="1" fillId="2" borderId="1" xfId="0" applyFont="1" applyFill="1" applyBorder="1"/>
    <xf numFmtId="0" fontId="4" fillId="2" borderId="1" xfId="0" applyFont="1" applyFill="1" applyBorder="1"/>
    <xf numFmtId="164" fontId="0" fillId="2" borderId="1" xfId="0" applyNumberFormat="1" applyFill="1" applyBorder="1"/>
    <xf numFmtId="0" fontId="5" fillId="2" borderId="1" xfId="0" applyFont="1" applyFill="1" applyBorder="1"/>
    <xf numFmtId="0" fontId="6" fillId="6" borderId="1" xfId="0" applyFont="1" applyFill="1" applyBorder="1"/>
    <xf numFmtId="0" fontId="7" fillId="6" borderId="1" xfId="0" applyFont="1" applyFill="1" applyBorder="1"/>
    <xf numFmtId="0" fontId="8" fillId="2" borderId="1" xfId="0" applyFont="1" applyFill="1" applyBorder="1"/>
    <xf numFmtId="0" fontId="9" fillId="2" borderId="1" xfId="0" applyFont="1" applyFill="1" applyBorder="1"/>
    <xf numFmtId="0" fontId="10" fillId="7" borderId="1" xfId="0" applyFont="1" applyFill="1" applyBorder="1"/>
    <xf numFmtId="164" fontId="10" fillId="7" borderId="1" xfId="0" applyNumberFormat="1" applyFont="1" applyFill="1" applyBorder="1"/>
    <xf numFmtId="164" fontId="10" fillId="8" borderId="1" xfId="0" applyNumberFormat="1" applyFont="1" applyFill="1" applyBorder="1"/>
    <xf numFmtId="164" fontId="10" fillId="2" borderId="1" xfId="0" applyNumberFormat="1" applyFont="1" applyFill="1" applyBorder="1"/>
    <xf numFmtId="0" fontId="10" fillId="2" borderId="1" xfId="0" applyFont="1" applyFill="1" applyBorder="1"/>
    <xf numFmtId="0" fontId="0" fillId="2" borderId="1" xfId="0" applyFill="1" applyBorder="1"/>
    <xf numFmtId="0" fontId="7" fillId="2" borderId="1" xfId="0" applyFont="1" applyFill="1" applyBorder="1"/>
    <xf numFmtId="0" fontId="1" fillId="2" borderId="0" xfId="0" applyFont="1" applyFill="1"/>
    <xf numFmtId="0" fontId="3" fillId="2" borderId="0" xfId="0" applyFont="1" applyFill="1"/>
    <xf numFmtId="0" fontId="1" fillId="4" borderId="0" xfId="0" applyFont="1" applyFill="1" applyAlignment="1">
      <alignment horizontal="center"/>
    </xf>
    <xf numFmtId="0" fontId="1" fillId="3" borderId="0" xfId="0" applyFont="1" applyFill="1" applyAlignment="1">
      <alignment horizontal="center" wrapText="1"/>
    </xf>
    <xf numFmtId="0" fontId="2" fillId="5" borderId="0" xfId="0" applyFont="1" applyFill="1" applyAlignment="1">
      <alignment horizontal="center" wrapText="1"/>
    </xf>
    <xf numFmtId="0" fontId="2" fillId="9" borderId="0" xfId="0" applyFont="1" applyFill="1" applyAlignment="1">
      <alignment horizont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48">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Wages over time,</a:t>
            </a:r>
            <a:r>
              <a:rPr lang="en-US" baseline="0"/>
              <a:t> by Gender </a:t>
            </a:r>
            <a:endParaRPr lang="en-US"/>
          </a:p>
        </c:rich>
      </c:tx>
      <c:layout>
        <c:manualLayout>
          <c:xMode val="edge"/>
          <c:yMode val="edge"/>
          <c:x val="0.27402945316985505"/>
          <c:y val="3.43768984149117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'Solved Task'!$H$22</c:f>
              <c:strCache>
                <c:ptCount val="1"/>
                <c:pt idx="0">
                  <c:v>Average Female</c:v>
                </c:pt>
              </c:strCache>
            </c:strRef>
          </c:tx>
          <c:spPr>
            <a:ln w="28575" cap="rnd">
              <a:solidFill>
                <a:schemeClr val="accent5"/>
              </a:solidFill>
              <a:round/>
            </a:ln>
            <a:effectLst/>
          </c:spPr>
          <c:marker>
            <c:symbol val="none"/>
          </c:marker>
          <c:cat>
            <c:numRef>
              <c:f>'Solved Task'!$I$21:$M$21</c:f>
              <c:numCache>
                <c:formatCode>General</c:formatCode>
                <c:ptCount val="5"/>
                <c:pt idx="0">
                  <c:v>2021</c:v>
                </c:pt>
                <c:pt idx="1">
                  <c:v>2022</c:v>
                </c:pt>
                <c:pt idx="2">
                  <c:v>2023</c:v>
                </c:pt>
                <c:pt idx="3">
                  <c:v>2024</c:v>
                </c:pt>
                <c:pt idx="4">
                  <c:v>2025</c:v>
                </c:pt>
              </c:numCache>
            </c:numRef>
          </c:cat>
          <c:val>
            <c:numRef>
              <c:f>'Solved Task'!$I$22:$M$22</c:f>
              <c:numCache>
                <c:formatCode>0.0</c:formatCode>
                <c:ptCount val="5"/>
                <c:pt idx="0">
                  <c:v>51.838004708499923</c:v>
                </c:pt>
                <c:pt idx="1">
                  <c:v>51.555884212305408</c:v>
                </c:pt>
                <c:pt idx="2">
                  <c:v>51.238661858503669</c:v>
                </c:pt>
                <c:pt idx="3">
                  <c:v>50.915977128263052</c:v>
                </c:pt>
                <c:pt idx="4">
                  <c:v>51.071955200983261</c:v>
                </c:pt>
              </c:numCache>
            </c:numRef>
          </c:val>
          <c:smooth val="0"/>
          <c:extLst>
            <c:ext xmlns:c16="http://schemas.microsoft.com/office/drawing/2014/chart" uri="{C3380CC4-5D6E-409C-BE32-E72D297353CC}">
              <c16:uniqueId val="{00000000-8D73-4BD9-8FE5-6041E1D3EC9F}"/>
            </c:ext>
          </c:extLst>
        </c:ser>
        <c:ser>
          <c:idx val="1"/>
          <c:order val="1"/>
          <c:tx>
            <c:strRef>
              <c:f>'Solved Task'!$H$23</c:f>
              <c:strCache>
                <c:ptCount val="1"/>
                <c:pt idx="0">
                  <c:v>Average Male</c:v>
                </c:pt>
              </c:strCache>
            </c:strRef>
          </c:tx>
          <c:spPr>
            <a:ln w="28575" cap="rnd">
              <a:solidFill>
                <a:schemeClr val="accent3"/>
              </a:solidFill>
              <a:round/>
            </a:ln>
            <a:effectLst/>
          </c:spPr>
          <c:marker>
            <c:symbol val="none"/>
          </c:marker>
          <c:cat>
            <c:numRef>
              <c:f>'Solved Task'!$I$21:$M$21</c:f>
              <c:numCache>
                <c:formatCode>General</c:formatCode>
                <c:ptCount val="5"/>
                <c:pt idx="0">
                  <c:v>2021</c:v>
                </c:pt>
                <c:pt idx="1">
                  <c:v>2022</c:v>
                </c:pt>
                <c:pt idx="2">
                  <c:v>2023</c:v>
                </c:pt>
                <c:pt idx="3">
                  <c:v>2024</c:v>
                </c:pt>
                <c:pt idx="4">
                  <c:v>2025</c:v>
                </c:pt>
              </c:numCache>
            </c:numRef>
          </c:cat>
          <c:val>
            <c:numRef>
              <c:f>'Solved Task'!$I$23:$M$23</c:f>
              <c:numCache>
                <c:formatCode>0.0</c:formatCode>
                <c:ptCount val="5"/>
                <c:pt idx="0">
                  <c:v>52.754961527227479</c:v>
                </c:pt>
                <c:pt idx="1">
                  <c:v>52.667526746118462</c:v>
                </c:pt>
                <c:pt idx="2">
                  <c:v>52.301300952558954</c:v>
                </c:pt>
                <c:pt idx="3">
                  <c:v>52.051059890129636</c:v>
                </c:pt>
                <c:pt idx="4">
                  <c:v>52.196110536587355</c:v>
                </c:pt>
              </c:numCache>
            </c:numRef>
          </c:val>
          <c:smooth val="0"/>
          <c:extLst>
            <c:ext xmlns:c16="http://schemas.microsoft.com/office/drawing/2014/chart" uri="{C3380CC4-5D6E-409C-BE32-E72D297353CC}">
              <c16:uniqueId val="{00000001-8D73-4BD9-8FE5-6041E1D3EC9F}"/>
            </c:ext>
          </c:extLst>
        </c:ser>
        <c:dLbls>
          <c:showLegendKey val="0"/>
          <c:showVal val="0"/>
          <c:showCatName val="0"/>
          <c:showSerName val="0"/>
          <c:showPercent val="0"/>
          <c:showBubbleSize val="0"/>
        </c:dLbls>
        <c:smooth val="0"/>
        <c:axId val="1811582384"/>
        <c:axId val="1811581424"/>
      </c:lineChart>
      <c:catAx>
        <c:axId val="181158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581424"/>
        <c:crosses val="autoZero"/>
        <c:auto val="1"/>
        <c:lblAlgn val="ctr"/>
        <c:lblOffset val="100"/>
        <c:noMultiLvlLbl val="0"/>
      </c:catAx>
      <c:valAx>
        <c:axId val="1811581424"/>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811582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Wage Differential, 2025</a:t>
            </a:r>
          </a:p>
        </c:rich>
      </c:tx>
      <c:layout>
        <c:manualLayout>
          <c:xMode val="edge"/>
          <c:yMode val="edge"/>
          <c:x val="0.3800965103555769"/>
          <c:y val="3.17279516325510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2045239609030754E-2"/>
          <c:y val="0.17635597247365781"/>
          <c:w val="0.95590952078193847"/>
          <c:h val="0.59400799933819814"/>
        </c:manualLayout>
      </c:layout>
      <c:barChart>
        <c:barDir val="col"/>
        <c:grouping val="clustered"/>
        <c:varyColors val="0"/>
        <c:ser>
          <c:idx val="0"/>
          <c:order val="0"/>
          <c:tx>
            <c:strRef>
              <c:f>'Solved Task'!$I$39</c:f>
              <c:strCache>
                <c:ptCount val="1"/>
                <c:pt idx="0">
                  <c:v>Female</c:v>
                </c:pt>
              </c:strCache>
            </c:strRef>
          </c:tx>
          <c:spPr>
            <a:solidFill>
              <a:schemeClr val="accent5"/>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'Solved Task'!$H$40:$H$43</c:f>
              <c:strCache>
                <c:ptCount val="4"/>
                <c:pt idx="0">
                  <c:v>High income</c:v>
                </c:pt>
                <c:pt idx="1">
                  <c:v>Low income</c:v>
                </c:pt>
                <c:pt idx="2">
                  <c:v>Lower middle income</c:v>
                </c:pt>
                <c:pt idx="3">
                  <c:v>Upper middle income</c:v>
                </c:pt>
              </c:strCache>
            </c:strRef>
          </c:cat>
          <c:val>
            <c:numRef>
              <c:f>'Solved Task'!$I$40:$I$43</c:f>
              <c:numCache>
                <c:formatCode>0.0</c:formatCode>
                <c:ptCount val="4"/>
                <c:pt idx="0">
                  <c:v>65.298036857352088</c:v>
                </c:pt>
                <c:pt idx="1">
                  <c:v>19.073486398803663</c:v>
                </c:pt>
                <c:pt idx="2">
                  <c:v>33.97520686401009</c:v>
                </c:pt>
                <c:pt idx="3">
                  <c:v>59.060031394602319</c:v>
                </c:pt>
              </c:numCache>
            </c:numRef>
          </c:val>
          <c:extLst>
            <c:ext xmlns:c16="http://schemas.microsoft.com/office/drawing/2014/chart" uri="{C3380CC4-5D6E-409C-BE32-E72D297353CC}">
              <c16:uniqueId val="{00000000-745A-4FC6-8A48-E8F07FA99F6B}"/>
            </c:ext>
          </c:extLst>
        </c:ser>
        <c:ser>
          <c:idx val="1"/>
          <c:order val="1"/>
          <c:tx>
            <c:strRef>
              <c:f>'Solved Task'!$J$39</c:f>
              <c:strCache>
                <c:ptCount val="1"/>
                <c:pt idx="0">
                  <c:v>Male</c:v>
                </c:pt>
              </c:strCache>
            </c:strRef>
          </c:tx>
          <c:spPr>
            <a:solidFill>
              <a:schemeClr val="accent3"/>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'Solved Task'!$H$40:$H$43</c:f>
              <c:strCache>
                <c:ptCount val="4"/>
                <c:pt idx="0">
                  <c:v>High income</c:v>
                </c:pt>
                <c:pt idx="1">
                  <c:v>Low income</c:v>
                </c:pt>
                <c:pt idx="2">
                  <c:v>Lower middle income</c:v>
                </c:pt>
                <c:pt idx="3">
                  <c:v>Upper middle income</c:v>
                </c:pt>
              </c:strCache>
            </c:strRef>
          </c:cat>
          <c:val>
            <c:numRef>
              <c:f>'Solved Task'!$J$40:$J$43</c:f>
              <c:numCache>
                <c:formatCode>0.0</c:formatCode>
                <c:ptCount val="4"/>
                <c:pt idx="0">
                  <c:v>61.109808961117317</c:v>
                </c:pt>
                <c:pt idx="1">
                  <c:v>29.203525988570391</c:v>
                </c:pt>
                <c:pt idx="2">
                  <c:v>41.993389107246067</c:v>
                </c:pt>
                <c:pt idx="3">
                  <c:v>58.091899808030213</c:v>
                </c:pt>
              </c:numCache>
            </c:numRef>
          </c:val>
          <c:extLst>
            <c:ext xmlns:c16="http://schemas.microsoft.com/office/drawing/2014/chart" uri="{C3380CC4-5D6E-409C-BE32-E72D297353CC}">
              <c16:uniqueId val="{00000001-745A-4FC6-8A48-E8F07FA99F6B}"/>
            </c:ext>
          </c:extLst>
        </c:ser>
        <c:dLbls>
          <c:dLblPos val="outEnd"/>
          <c:showLegendKey val="0"/>
          <c:showVal val="1"/>
          <c:showCatName val="0"/>
          <c:showSerName val="0"/>
          <c:showPercent val="0"/>
          <c:showBubbleSize val="0"/>
        </c:dLbls>
        <c:gapWidth val="150"/>
        <c:axId val="1316158063"/>
        <c:axId val="1316158543"/>
      </c:barChart>
      <c:catAx>
        <c:axId val="1316158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158543"/>
        <c:crosses val="autoZero"/>
        <c:auto val="1"/>
        <c:lblAlgn val="ctr"/>
        <c:lblOffset val="100"/>
        <c:noMultiLvlLbl val="0"/>
      </c:catAx>
      <c:valAx>
        <c:axId val="1316158543"/>
        <c:scaling>
          <c:orientation val="minMax"/>
        </c:scaling>
        <c:delete val="1"/>
        <c:axPos val="l"/>
        <c:numFmt formatCode="0.0" sourceLinked="1"/>
        <c:majorTickMark val="out"/>
        <c:minorTickMark val="none"/>
        <c:tickLblPos val="nextTo"/>
        <c:crossAx val="1316158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'Solved Task'!$K$39</c:f>
              <c:strCache>
                <c:ptCount val="1"/>
                <c:pt idx="0">
                  <c:v>Difference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'Solved Task'!$H$40:$H$43</c:f>
              <c:strCache>
                <c:ptCount val="4"/>
                <c:pt idx="0">
                  <c:v>High income</c:v>
                </c:pt>
                <c:pt idx="1">
                  <c:v>Low income</c:v>
                </c:pt>
                <c:pt idx="2">
                  <c:v>Lower middle income</c:v>
                </c:pt>
                <c:pt idx="3">
                  <c:v>Upper middle income</c:v>
                </c:pt>
              </c:strCache>
            </c:strRef>
          </c:cat>
          <c:val>
            <c:numRef>
              <c:f>'Solved Task'!$K$40:$K$43</c:f>
              <c:numCache>
                <c:formatCode>0.0</c:formatCode>
                <c:ptCount val="4"/>
                <c:pt idx="0">
                  <c:v>4.1882278962347712</c:v>
                </c:pt>
                <c:pt idx="1">
                  <c:v>-10.130039589766728</c:v>
                </c:pt>
                <c:pt idx="2">
                  <c:v>-8.0181822432359766</c:v>
                </c:pt>
                <c:pt idx="3">
                  <c:v>0.96813158657210607</c:v>
                </c:pt>
              </c:numCache>
            </c:numRef>
          </c:val>
          <c:extLst>
            <c:ext xmlns:c16="http://schemas.microsoft.com/office/drawing/2014/chart" uri="{C3380CC4-5D6E-409C-BE32-E72D297353CC}">
              <c16:uniqueId val="{00000000-0EEC-40EE-9AB8-CE7697BD3AA8}"/>
            </c:ext>
          </c:extLst>
        </c:ser>
        <c:dLbls>
          <c:dLblPos val="outEnd"/>
          <c:showLegendKey val="0"/>
          <c:showVal val="1"/>
          <c:showCatName val="0"/>
          <c:showSerName val="0"/>
          <c:showPercent val="0"/>
          <c:showBubbleSize val="0"/>
        </c:dLbls>
        <c:gapWidth val="219"/>
        <c:overlap val="-27"/>
        <c:axId val="1753781328"/>
        <c:axId val="1753783248"/>
      </c:barChart>
      <c:catAx>
        <c:axId val="175378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783248"/>
        <c:crosses val="autoZero"/>
        <c:auto val="1"/>
        <c:lblAlgn val="ctr"/>
        <c:lblOffset val="100"/>
        <c:noMultiLvlLbl val="0"/>
      </c:catAx>
      <c:valAx>
        <c:axId val="1753783248"/>
        <c:scaling>
          <c:orientation val="minMax"/>
        </c:scaling>
        <c:delete val="1"/>
        <c:axPos val="l"/>
        <c:numFmt formatCode="0.0" sourceLinked="1"/>
        <c:majorTickMark val="none"/>
        <c:minorTickMark val="none"/>
        <c:tickLblPos val="nextTo"/>
        <c:crossAx val="175378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Aptos Narrow" panose="02110004020202020204"/>
              </a:rPr>
              <a:t>Income changes across years, by Gender</a:t>
            </a:r>
          </a:p>
        </c:rich>
      </c:tx>
      <c:layout>
        <c:manualLayout>
          <c:xMode val="edge"/>
          <c:yMode val="edge"/>
          <c:x val="0.24317162080257437"/>
          <c:y val="4.92523977256509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'Solved Task'!$I$63</c:f>
              <c:strCache>
                <c:ptCount val="1"/>
                <c:pt idx="0">
                  <c:v>Female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'Solved Task'!$H$64:$H$68</c:f>
              <c:strCache>
                <c:ptCount val="5"/>
                <c:pt idx="0">
                  <c:v>High income</c:v>
                </c:pt>
                <c:pt idx="1">
                  <c:v>Low income</c:v>
                </c:pt>
                <c:pt idx="2">
                  <c:v>Lower middle income</c:v>
                </c:pt>
                <c:pt idx="3">
                  <c:v>Upper middle income</c:v>
                </c:pt>
                <c:pt idx="4">
                  <c:v>World</c:v>
                </c:pt>
              </c:strCache>
            </c:strRef>
          </c:cat>
          <c:val>
            <c:numRef>
              <c:f>'Solved Task'!$I$64:$I$68</c:f>
              <c:numCache>
                <c:formatCode>0.0</c:formatCode>
                <c:ptCount val="5"/>
                <c:pt idx="0">
                  <c:v>0.24421806569311855</c:v>
                </c:pt>
                <c:pt idx="1">
                  <c:v>-1.6427812106469162</c:v>
                </c:pt>
                <c:pt idx="2">
                  <c:v>-2.5316856010517697</c:v>
                </c:pt>
                <c:pt idx="3">
                  <c:v>-0.33425161938766479</c:v>
                </c:pt>
                <c:pt idx="4">
                  <c:v>-0.76604950751666223</c:v>
                </c:pt>
              </c:numCache>
            </c:numRef>
          </c:val>
          <c:extLst>
            <c:ext xmlns:c16="http://schemas.microsoft.com/office/drawing/2014/chart" uri="{C3380CC4-5D6E-409C-BE32-E72D297353CC}">
              <c16:uniqueId val="{00000000-0E19-4AAB-BFE8-6D1E91A3456A}"/>
            </c:ext>
          </c:extLst>
        </c:ser>
        <c:ser>
          <c:idx val="1"/>
          <c:order val="1"/>
          <c:tx>
            <c:strRef>
              <c:f>'Solved Task'!$J$63</c:f>
              <c:strCache>
                <c:ptCount val="1"/>
                <c:pt idx="0">
                  <c:v>Male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'Solved Task'!$H$64:$H$68</c:f>
              <c:strCache>
                <c:ptCount val="5"/>
                <c:pt idx="0">
                  <c:v>High income</c:v>
                </c:pt>
                <c:pt idx="1">
                  <c:v>Low income</c:v>
                </c:pt>
                <c:pt idx="2">
                  <c:v>Lower middle income</c:v>
                </c:pt>
                <c:pt idx="3">
                  <c:v>Upper middle income</c:v>
                </c:pt>
                <c:pt idx="4">
                  <c:v>World</c:v>
                </c:pt>
              </c:strCache>
            </c:strRef>
          </c:cat>
          <c:val>
            <c:numRef>
              <c:f>'Solved Task'!$J$64:$J$68</c:f>
              <c:numCache>
                <c:formatCode>0.0</c:formatCode>
                <c:ptCount val="5"/>
                <c:pt idx="0">
                  <c:v>0.55270137551187304</c:v>
                </c:pt>
                <c:pt idx="1">
                  <c:v>-2.427988047038081</c:v>
                </c:pt>
                <c:pt idx="2">
                  <c:v>-1.9278786727566128</c:v>
                </c:pt>
                <c:pt idx="3">
                  <c:v>-0.19614160125666302</c:v>
                </c:pt>
                <c:pt idx="4">
                  <c:v>-0.55885099064012422</c:v>
                </c:pt>
              </c:numCache>
            </c:numRef>
          </c:val>
          <c:extLst>
            <c:ext xmlns:c16="http://schemas.microsoft.com/office/drawing/2014/chart" uri="{C3380CC4-5D6E-409C-BE32-E72D297353CC}">
              <c16:uniqueId val="{00000001-0E19-4AAB-BFE8-6D1E91A3456A}"/>
            </c:ext>
          </c:extLst>
        </c:ser>
        <c:dLbls>
          <c:dLblPos val="outEnd"/>
          <c:showLegendKey val="0"/>
          <c:showVal val="1"/>
          <c:showCatName val="0"/>
          <c:showSerName val="0"/>
          <c:showPercent val="0"/>
          <c:showBubbleSize val="0"/>
        </c:dLbls>
        <c:gapWidth val="219"/>
        <c:axId val="1198404176"/>
        <c:axId val="1159337920"/>
      </c:barChart>
      <c:catAx>
        <c:axId val="1198404176"/>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337920"/>
        <c:crosses val="autoZero"/>
        <c:auto val="1"/>
        <c:lblAlgn val="ctr"/>
        <c:lblOffset val="100"/>
        <c:noMultiLvlLbl val="0"/>
      </c:catAx>
      <c:valAx>
        <c:axId val="1159337920"/>
        <c:scaling>
          <c:orientation val="minMax"/>
        </c:scaling>
        <c:delete val="1"/>
        <c:axPos val="b"/>
        <c:numFmt formatCode="0.0" sourceLinked="1"/>
        <c:majorTickMark val="none"/>
        <c:minorTickMark val="none"/>
        <c:tickLblPos val="nextTo"/>
        <c:crossAx val="1198404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Income variation percentage change in male and female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Female Net Change, Male Net Change</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Sheet3!$A$4:$A$17</c:f>
              <c:strCache>
                <c:ptCount val="14"/>
                <c:pt idx="0">
                  <c:v>Row Labels</c:v>
                </c:pt>
                <c:pt idx="1">
                  <c:v>High income</c:v>
                </c:pt>
                <c:pt idx="2">
                  <c:v>Low income</c:v>
                </c:pt>
                <c:pt idx="3">
                  <c:v>Lower middle income</c:v>
                </c:pt>
                <c:pt idx="4">
                  <c:v>Upper middle income</c:v>
                </c:pt>
                <c:pt idx="5">
                  <c:v>Average Female</c:v>
                </c:pt>
                <c:pt idx="8">
                  <c:v>Income Levels</c:v>
                </c:pt>
                <c:pt idx="9">
                  <c:v>High income</c:v>
                </c:pt>
                <c:pt idx="10">
                  <c:v>Low income</c:v>
                </c:pt>
                <c:pt idx="11">
                  <c:v>Lower middle income</c:v>
                </c:pt>
                <c:pt idx="12">
                  <c:v>Upper middle income</c:v>
                </c:pt>
                <c:pt idx="13">
                  <c:v>Average Male</c:v>
                </c:pt>
              </c:strCache>
            </c:strRef>
          </c:cat>
          <c:val>
            <c:numRef>
              <c:f>Sheet3!$B$4:$B$17</c:f>
              <c:numCache>
                <c:formatCode>0.0</c:formatCode>
                <c:ptCount val="14"/>
                <c:pt idx="0" formatCode="General">
                  <c:v>0</c:v>
                </c:pt>
                <c:pt idx="1">
                  <c:v>65.053818791658969</c:v>
                </c:pt>
                <c:pt idx="2">
                  <c:v>20.716267609450579</c:v>
                </c:pt>
                <c:pt idx="3">
                  <c:v>36.50689246506186</c:v>
                </c:pt>
                <c:pt idx="4">
                  <c:v>59.394283013989984</c:v>
                </c:pt>
                <c:pt idx="5">
                  <c:v>51.838004708499923</c:v>
                </c:pt>
                <c:pt idx="7" formatCode="General">
                  <c:v>0</c:v>
                </c:pt>
                <c:pt idx="8" formatCode="General">
                  <c:v>0</c:v>
                </c:pt>
                <c:pt idx="9">
                  <c:v>60.557107585605443</c:v>
                </c:pt>
                <c:pt idx="10">
                  <c:v>31.631514035608472</c:v>
                </c:pt>
                <c:pt idx="11">
                  <c:v>43.92126778000268</c:v>
                </c:pt>
                <c:pt idx="12">
                  <c:v>58.288041409286876</c:v>
                </c:pt>
                <c:pt idx="13">
                  <c:v>52.754961527227479</c:v>
                </c:pt>
              </c:numCache>
            </c:numRef>
          </c:val>
          <c:extLst>
            <c:ext xmlns:c16="http://schemas.microsoft.com/office/drawing/2014/chart" uri="{C3380CC4-5D6E-409C-BE32-E72D297353CC}">
              <c16:uniqueId val="{00000000-AF48-4E56-A5A3-AA48BDFE897A}"/>
            </c:ext>
          </c:extLst>
        </c:ser>
        <c:dLbls>
          <c:dLblPos val="outEnd"/>
          <c:showLegendKey val="0"/>
          <c:showVal val="1"/>
          <c:showCatName val="0"/>
          <c:showSerName val="0"/>
          <c:showPercent val="0"/>
          <c:showBubbleSize val="0"/>
        </c:dLbls>
        <c:gapWidth val="444"/>
        <c:overlap val="-90"/>
        <c:axId val="1293068383"/>
        <c:axId val="727846639"/>
      </c:barChart>
      <c:catAx>
        <c:axId val="1293068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Income level</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27846639"/>
        <c:crosses val="autoZero"/>
        <c:auto val="1"/>
        <c:lblAlgn val="ctr"/>
        <c:lblOffset val="100"/>
        <c:noMultiLvlLbl val="0"/>
      </c:catAx>
      <c:valAx>
        <c:axId val="727846639"/>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Net Change (Percentage Points)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2930683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4 - Exercise 1.xlsx]Sheet4!PivotTable3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Male yearly percentage income variation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Sheet4!$B$3</c:f>
              <c:strCache>
                <c:ptCount val="1"/>
                <c:pt idx="0">
                  <c:v>Sum of 2021</c:v>
                </c:pt>
              </c:strCache>
            </c:strRef>
          </c:tx>
          <c:spPr>
            <a:ln w="28575" cap="rnd">
              <a:solidFill>
                <a:schemeClr val="accent1"/>
              </a:solidFill>
              <a:round/>
            </a:ln>
            <a:effectLst/>
          </c:spPr>
          <c:marker>
            <c:symbol val="none"/>
          </c:marker>
          <c:cat>
            <c:strRef>
              <c:f>Sheet4!$A$4:$A$9</c:f>
              <c:strCache>
                <c:ptCount val="5"/>
                <c:pt idx="0">
                  <c:v>Average Male</c:v>
                </c:pt>
                <c:pt idx="1">
                  <c:v>High income</c:v>
                </c:pt>
                <c:pt idx="2">
                  <c:v>Low income</c:v>
                </c:pt>
                <c:pt idx="3">
                  <c:v>Lower middle income</c:v>
                </c:pt>
                <c:pt idx="4">
                  <c:v>Upper middle income</c:v>
                </c:pt>
              </c:strCache>
            </c:strRef>
          </c:cat>
          <c:val>
            <c:numRef>
              <c:f>Sheet4!$B$4:$B$9</c:f>
              <c:numCache>
                <c:formatCode>General</c:formatCode>
                <c:ptCount val="5"/>
                <c:pt idx="0">
                  <c:v>52.754961527227479</c:v>
                </c:pt>
                <c:pt idx="1">
                  <c:v>60.557107585605443</c:v>
                </c:pt>
                <c:pt idx="2">
                  <c:v>31.631514035608472</c:v>
                </c:pt>
                <c:pt idx="3">
                  <c:v>43.92126778000268</c:v>
                </c:pt>
                <c:pt idx="4">
                  <c:v>58.288041409286876</c:v>
                </c:pt>
              </c:numCache>
            </c:numRef>
          </c:val>
          <c:smooth val="0"/>
          <c:extLst>
            <c:ext xmlns:c16="http://schemas.microsoft.com/office/drawing/2014/chart" uri="{C3380CC4-5D6E-409C-BE32-E72D297353CC}">
              <c16:uniqueId val="{00000000-61BD-4D8E-AD66-68D751277524}"/>
            </c:ext>
          </c:extLst>
        </c:ser>
        <c:ser>
          <c:idx val="1"/>
          <c:order val="1"/>
          <c:tx>
            <c:strRef>
              <c:f>Sheet4!$C$3</c:f>
              <c:strCache>
                <c:ptCount val="1"/>
                <c:pt idx="0">
                  <c:v>Sum of 2022</c:v>
                </c:pt>
              </c:strCache>
            </c:strRef>
          </c:tx>
          <c:spPr>
            <a:ln w="28575" cap="rnd">
              <a:solidFill>
                <a:schemeClr val="accent2"/>
              </a:solidFill>
              <a:round/>
            </a:ln>
            <a:effectLst/>
          </c:spPr>
          <c:marker>
            <c:symbol val="none"/>
          </c:marker>
          <c:cat>
            <c:strRef>
              <c:f>Sheet4!$A$4:$A$9</c:f>
              <c:strCache>
                <c:ptCount val="5"/>
                <c:pt idx="0">
                  <c:v>Average Male</c:v>
                </c:pt>
                <c:pt idx="1">
                  <c:v>High income</c:v>
                </c:pt>
                <c:pt idx="2">
                  <c:v>Low income</c:v>
                </c:pt>
                <c:pt idx="3">
                  <c:v>Lower middle income</c:v>
                </c:pt>
                <c:pt idx="4">
                  <c:v>Upper middle income</c:v>
                </c:pt>
              </c:strCache>
            </c:strRef>
          </c:cat>
          <c:val>
            <c:numRef>
              <c:f>Sheet4!$C$4:$C$9</c:f>
              <c:numCache>
                <c:formatCode>General</c:formatCode>
                <c:ptCount val="5"/>
                <c:pt idx="0">
                  <c:v>52.667526746118462</c:v>
                </c:pt>
                <c:pt idx="1">
                  <c:v>60.709845342237038</c:v>
                </c:pt>
                <c:pt idx="2">
                  <c:v>31.881468056216899</c:v>
                </c:pt>
                <c:pt idx="3">
                  <c:v>44.255603185921885</c:v>
                </c:pt>
                <c:pt idx="4">
                  <c:v>57.271383153362258</c:v>
                </c:pt>
              </c:numCache>
            </c:numRef>
          </c:val>
          <c:smooth val="0"/>
          <c:extLst>
            <c:ext xmlns:c16="http://schemas.microsoft.com/office/drawing/2014/chart" uri="{C3380CC4-5D6E-409C-BE32-E72D297353CC}">
              <c16:uniqueId val="{00000001-61BD-4D8E-AD66-68D751277524}"/>
            </c:ext>
          </c:extLst>
        </c:ser>
        <c:ser>
          <c:idx val="2"/>
          <c:order val="2"/>
          <c:tx>
            <c:strRef>
              <c:f>Sheet4!$D$3</c:f>
              <c:strCache>
                <c:ptCount val="1"/>
                <c:pt idx="0">
                  <c:v>Sum of 2023</c:v>
                </c:pt>
              </c:strCache>
            </c:strRef>
          </c:tx>
          <c:spPr>
            <a:ln w="28575" cap="rnd">
              <a:solidFill>
                <a:schemeClr val="accent3"/>
              </a:solidFill>
              <a:round/>
            </a:ln>
            <a:effectLst/>
          </c:spPr>
          <c:marker>
            <c:symbol val="none"/>
          </c:marker>
          <c:cat>
            <c:strRef>
              <c:f>Sheet4!$A$4:$A$9</c:f>
              <c:strCache>
                <c:ptCount val="5"/>
                <c:pt idx="0">
                  <c:v>Average Male</c:v>
                </c:pt>
                <c:pt idx="1">
                  <c:v>High income</c:v>
                </c:pt>
                <c:pt idx="2">
                  <c:v>Low income</c:v>
                </c:pt>
                <c:pt idx="3">
                  <c:v>Lower middle income</c:v>
                </c:pt>
                <c:pt idx="4">
                  <c:v>Upper middle income</c:v>
                </c:pt>
              </c:strCache>
            </c:strRef>
          </c:cat>
          <c:val>
            <c:numRef>
              <c:f>Sheet4!$D$4:$D$9</c:f>
              <c:numCache>
                <c:formatCode>General</c:formatCode>
                <c:ptCount val="5"/>
                <c:pt idx="0">
                  <c:v>52.301300952558954</c:v>
                </c:pt>
                <c:pt idx="1">
                  <c:v>60.894069642498621</c:v>
                </c:pt>
                <c:pt idx="2">
                  <c:v>29.692608734138844</c:v>
                </c:pt>
                <c:pt idx="3">
                  <c:v>42.941950232981981</c:v>
                </c:pt>
                <c:pt idx="4">
                  <c:v>57.749573806346746</c:v>
                </c:pt>
              </c:numCache>
            </c:numRef>
          </c:val>
          <c:smooth val="0"/>
          <c:extLst>
            <c:ext xmlns:c16="http://schemas.microsoft.com/office/drawing/2014/chart" uri="{C3380CC4-5D6E-409C-BE32-E72D297353CC}">
              <c16:uniqueId val="{00000002-61BD-4D8E-AD66-68D751277524}"/>
            </c:ext>
          </c:extLst>
        </c:ser>
        <c:ser>
          <c:idx val="3"/>
          <c:order val="3"/>
          <c:tx>
            <c:strRef>
              <c:f>Sheet4!$E$3</c:f>
              <c:strCache>
                <c:ptCount val="1"/>
                <c:pt idx="0">
                  <c:v>Sum of 2024</c:v>
                </c:pt>
              </c:strCache>
            </c:strRef>
          </c:tx>
          <c:spPr>
            <a:ln w="28575" cap="rnd">
              <a:solidFill>
                <a:schemeClr val="accent4"/>
              </a:solidFill>
              <a:round/>
            </a:ln>
            <a:effectLst/>
          </c:spPr>
          <c:marker>
            <c:symbol val="none"/>
          </c:marker>
          <c:cat>
            <c:strRef>
              <c:f>Sheet4!$A$4:$A$9</c:f>
              <c:strCache>
                <c:ptCount val="5"/>
                <c:pt idx="0">
                  <c:v>Average Male</c:v>
                </c:pt>
                <c:pt idx="1">
                  <c:v>High income</c:v>
                </c:pt>
                <c:pt idx="2">
                  <c:v>Low income</c:v>
                </c:pt>
                <c:pt idx="3">
                  <c:v>Lower middle income</c:v>
                </c:pt>
                <c:pt idx="4">
                  <c:v>Upper middle income</c:v>
                </c:pt>
              </c:strCache>
            </c:strRef>
          </c:cat>
          <c:val>
            <c:numRef>
              <c:f>Sheet4!$E$4:$E$9</c:f>
              <c:numCache>
                <c:formatCode>General</c:formatCode>
                <c:ptCount val="5"/>
                <c:pt idx="0">
                  <c:v>52.051059890129636</c:v>
                </c:pt>
                <c:pt idx="1">
                  <c:v>61.020735504612361</c:v>
                </c:pt>
                <c:pt idx="2">
                  <c:v>29.034347819702333</c:v>
                </c:pt>
                <c:pt idx="3">
                  <c:v>41.789101867621888</c:v>
                </c:pt>
                <c:pt idx="4">
                  <c:v>57.923719150139966</c:v>
                </c:pt>
              </c:numCache>
            </c:numRef>
          </c:val>
          <c:smooth val="0"/>
          <c:extLst>
            <c:ext xmlns:c16="http://schemas.microsoft.com/office/drawing/2014/chart" uri="{C3380CC4-5D6E-409C-BE32-E72D297353CC}">
              <c16:uniqueId val="{00000003-61BD-4D8E-AD66-68D751277524}"/>
            </c:ext>
          </c:extLst>
        </c:ser>
        <c:ser>
          <c:idx val="4"/>
          <c:order val="4"/>
          <c:tx>
            <c:strRef>
              <c:f>Sheet4!$F$3</c:f>
              <c:strCache>
                <c:ptCount val="1"/>
                <c:pt idx="0">
                  <c:v>Sum of 2025</c:v>
                </c:pt>
              </c:strCache>
            </c:strRef>
          </c:tx>
          <c:spPr>
            <a:ln w="28575" cap="rnd">
              <a:solidFill>
                <a:schemeClr val="accent5"/>
              </a:solidFill>
              <a:round/>
            </a:ln>
            <a:effectLst/>
          </c:spPr>
          <c:marker>
            <c:symbol val="none"/>
          </c:marker>
          <c:cat>
            <c:strRef>
              <c:f>Sheet4!$A$4:$A$9</c:f>
              <c:strCache>
                <c:ptCount val="5"/>
                <c:pt idx="0">
                  <c:v>Average Male</c:v>
                </c:pt>
                <c:pt idx="1">
                  <c:v>High income</c:v>
                </c:pt>
                <c:pt idx="2">
                  <c:v>Low income</c:v>
                </c:pt>
                <c:pt idx="3">
                  <c:v>Lower middle income</c:v>
                </c:pt>
                <c:pt idx="4">
                  <c:v>Upper middle income</c:v>
                </c:pt>
              </c:strCache>
            </c:strRef>
          </c:cat>
          <c:val>
            <c:numRef>
              <c:f>Sheet4!$F$4:$F$9</c:f>
              <c:numCache>
                <c:formatCode>General</c:formatCode>
                <c:ptCount val="5"/>
                <c:pt idx="0">
                  <c:v>52.196110536587355</c:v>
                </c:pt>
                <c:pt idx="1">
                  <c:v>61.109808961117317</c:v>
                </c:pt>
                <c:pt idx="2">
                  <c:v>29.203525988570391</c:v>
                </c:pt>
                <c:pt idx="3">
                  <c:v>41.993389107246067</c:v>
                </c:pt>
                <c:pt idx="4">
                  <c:v>58.091899808030213</c:v>
                </c:pt>
              </c:numCache>
            </c:numRef>
          </c:val>
          <c:smooth val="0"/>
          <c:extLst>
            <c:ext xmlns:c16="http://schemas.microsoft.com/office/drawing/2014/chart" uri="{C3380CC4-5D6E-409C-BE32-E72D297353CC}">
              <c16:uniqueId val="{00000004-61BD-4D8E-AD66-68D751277524}"/>
            </c:ext>
          </c:extLst>
        </c:ser>
        <c:dLbls>
          <c:showLegendKey val="0"/>
          <c:showVal val="0"/>
          <c:showCatName val="0"/>
          <c:showSerName val="0"/>
          <c:showPercent val="0"/>
          <c:showBubbleSize val="0"/>
        </c:dLbls>
        <c:smooth val="0"/>
        <c:axId val="688768543"/>
        <c:axId val="727834639"/>
      </c:lineChart>
      <c:catAx>
        <c:axId val="688768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variation of male yearly 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834639"/>
        <c:crosses val="autoZero"/>
        <c:auto val="1"/>
        <c:lblAlgn val="ctr"/>
        <c:lblOffset val="100"/>
        <c:noMultiLvlLbl val="0"/>
      </c:catAx>
      <c:valAx>
        <c:axId val="727834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perceentage variation yearly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68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4 - Exercise 1.xlsx]Sheet2!PivotTable1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Female</a:t>
            </a:r>
            <a:r>
              <a:rPr lang="en-US" baseline="0"/>
              <a:t> yearly percentage income variation</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Sheet2!$B$3</c:f>
              <c:strCache>
                <c:ptCount val="1"/>
                <c:pt idx="0">
                  <c:v>Sum of 2021</c:v>
                </c:pt>
              </c:strCache>
            </c:strRef>
          </c:tx>
          <c:spPr>
            <a:ln w="28575" cap="rnd">
              <a:solidFill>
                <a:schemeClr val="accent1"/>
              </a:solidFill>
              <a:round/>
            </a:ln>
            <a:effectLst/>
          </c:spPr>
          <c:marker>
            <c:symbol val="none"/>
          </c:marker>
          <c:cat>
            <c:strRef>
              <c:f>Sheet2!$A$4:$A$9</c:f>
              <c:strCache>
                <c:ptCount val="5"/>
                <c:pt idx="0">
                  <c:v>Average Female</c:v>
                </c:pt>
                <c:pt idx="1">
                  <c:v>High income</c:v>
                </c:pt>
                <c:pt idx="2">
                  <c:v>Low income</c:v>
                </c:pt>
                <c:pt idx="3">
                  <c:v>Lower middle income</c:v>
                </c:pt>
                <c:pt idx="4">
                  <c:v>Upper middle income</c:v>
                </c:pt>
              </c:strCache>
            </c:strRef>
          </c:cat>
          <c:val>
            <c:numRef>
              <c:f>Sheet2!$B$4:$B$9</c:f>
              <c:numCache>
                <c:formatCode>0.0</c:formatCode>
                <c:ptCount val="5"/>
                <c:pt idx="0">
                  <c:v>51.838004708499923</c:v>
                </c:pt>
                <c:pt idx="1">
                  <c:v>65.053818791658969</c:v>
                </c:pt>
                <c:pt idx="2">
                  <c:v>20.716267609450579</c:v>
                </c:pt>
                <c:pt idx="3">
                  <c:v>36.50689246506186</c:v>
                </c:pt>
                <c:pt idx="4">
                  <c:v>59.394283013989984</c:v>
                </c:pt>
              </c:numCache>
            </c:numRef>
          </c:val>
          <c:smooth val="0"/>
          <c:extLst>
            <c:ext xmlns:c16="http://schemas.microsoft.com/office/drawing/2014/chart" uri="{C3380CC4-5D6E-409C-BE32-E72D297353CC}">
              <c16:uniqueId val="{00000000-1E07-4A56-9F98-6AD389BB3E93}"/>
            </c:ext>
          </c:extLst>
        </c:ser>
        <c:ser>
          <c:idx val="1"/>
          <c:order val="1"/>
          <c:tx>
            <c:strRef>
              <c:f>Sheet2!$C$3</c:f>
              <c:strCache>
                <c:ptCount val="1"/>
                <c:pt idx="0">
                  <c:v>Sum of 2022</c:v>
                </c:pt>
              </c:strCache>
            </c:strRef>
          </c:tx>
          <c:spPr>
            <a:ln w="28575" cap="rnd">
              <a:solidFill>
                <a:schemeClr val="accent2"/>
              </a:solidFill>
              <a:round/>
            </a:ln>
            <a:effectLst/>
          </c:spPr>
          <c:marker>
            <c:symbol val="none"/>
          </c:marker>
          <c:cat>
            <c:strRef>
              <c:f>Sheet2!$A$4:$A$9</c:f>
              <c:strCache>
                <c:ptCount val="5"/>
                <c:pt idx="0">
                  <c:v>Average Female</c:v>
                </c:pt>
                <c:pt idx="1">
                  <c:v>High income</c:v>
                </c:pt>
                <c:pt idx="2">
                  <c:v>Low income</c:v>
                </c:pt>
                <c:pt idx="3">
                  <c:v>Lower middle income</c:v>
                </c:pt>
                <c:pt idx="4">
                  <c:v>Upper middle income</c:v>
                </c:pt>
              </c:strCache>
            </c:strRef>
          </c:cat>
          <c:val>
            <c:numRef>
              <c:f>Sheet2!$C$4:$C$9</c:f>
              <c:numCache>
                <c:formatCode>0.0</c:formatCode>
                <c:ptCount val="5"/>
                <c:pt idx="0">
                  <c:v>51.555884212305408</c:v>
                </c:pt>
                <c:pt idx="1">
                  <c:v>65.013264403190078</c:v>
                </c:pt>
                <c:pt idx="2">
                  <c:v>20.968212008409246</c:v>
                </c:pt>
                <c:pt idx="3">
                  <c:v>36.539958523528398</c:v>
                </c:pt>
                <c:pt idx="4">
                  <c:v>58.188354455271444</c:v>
                </c:pt>
              </c:numCache>
            </c:numRef>
          </c:val>
          <c:smooth val="0"/>
          <c:extLst>
            <c:ext xmlns:c16="http://schemas.microsoft.com/office/drawing/2014/chart" uri="{C3380CC4-5D6E-409C-BE32-E72D297353CC}">
              <c16:uniqueId val="{00000001-1E07-4A56-9F98-6AD389BB3E93}"/>
            </c:ext>
          </c:extLst>
        </c:ser>
        <c:ser>
          <c:idx val="2"/>
          <c:order val="2"/>
          <c:tx>
            <c:strRef>
              <c:f>Sheet2!$D$3</c:f>
              <c:strCache>
                <c:ptCount val="1"/>
                <c:pt idx="0">
                  <c:v>Sum of 2023</c:v>
                </c:pt>
              </c:strCache>
            </c:strRef>
          </c:tx>
          <c:spPr>
            <a:ln w="28575" cap="rnd">
              <a:solidFill>
                <a:schemeClr val="accent3"/>
              </a:solidFill>
              <a:round/>
            </a:ln>
            <a:effectLst/>
          </c:spPr>
          <c:marker>
            <c:symbol val="none"/>
          </c:marker>
          <c:cat>
            <c:strRef>
              <c:f>Sheet2!$A$4:$A$9</c:f>
              <c:strCache>
                <c:ptCount val="5"/>
                <c:pt idx="0">
                  <c:v>Average Female</c:v>
                </c:pt>
                <c:pt idx="1">
                  <c:v>High income</c:v>
                </c:pt>
                <c:pt idx="2">
                  <c:v>Low income</c:v>
                </c:pt>
                <c:pt idx="3">
                  <c:v>Lower middle income</c:v>
                </c:pt>
                <c:pt idx="4">
                  <c:v>Upper middle income</c:v>
                </c:pt>
              </c:strCache>
            </c:strRef>
          </c:cat>
          <c:val>
            <c:numRef>
              <c:f>Sheet2!$D$4:$D$9</c:f>
              <c:numCache>
                <c:formatCode>0.0</c:formatCode>
                <c:ptCount val="5"/>
                <c:pt idx="0">
                  <c:v>51.238661858503669</c:v>
                </c:pt>
                <c:pt idx="1">
                  <c:v>65.195344299233085</c:v>
                </c:pt>
                <c:pt idx="2">
                  <c:v>19.33179667446116</c:v>
                </c:pt>
                <c:pt idx="3">
                  <c:v>35.215360307116562</c:v>
                </c:pt>
                <c:pt idx="4">
                  <c:v>58.619439956053448</c:v>
                </c:pt>
              </c:numCache>
            </c:numRef>
          </c:val>
          <c:smooth val="0"/>
          <c:extLst>
            <c:ext xmlns:c16="http://schemas.microsoft.com/office/drawing/2014/chart" uri="{C3380CC4-5D6E-409C-BE32-E72D297353CC}">
              <c16:uniqueId val="{00000002-1E07-4A56-9F98-6AD389BB3E93}"/>
            </c:ext>
          </c:extLst>
        </c:ser>
        <c:ser>
          <c:idx val="3"/>
          <c:order val="3"/>
          <c:tx>
            <c:strRef>
              <c:f>Sheet2!$E$3</c:f>
              <c:strCache>
                <c:ptCount val="1"/>
                <c:pt idx="0">
                  <c:v>Sum of 2024</c:v>
                </c:pt>
              </c:strCache>
            </c:strRef>
          </c:tx>
          <c:spPr>
            <a:ln w="28575" cap="rnd">
              <a:solidFill>
                <a:schemeClr val="accent4"/>
              </a:solidFill>
              <a:round/>
            </a:ln>
            <a:effectLst/>
          </c:spPr>
          <c:marker>
            <c:symbol val="none"/>
          </c:marker>
          <c:cat>
            <c:strRef>
              <c:f>Sheet2!$A$4:$A$9</c:f>
              <c:strCache>
                <c:ptCount val="5"/>
                <c:pt idx="0">
                  <c:v>Average Female</c:v>
                </c:pt>
                <c:pt idx="1">
                  <c:v>High income</c:v>
                </c:pt>
                <c:pt idx="2">
                  <c:v>Low income</c:v>
                </c:pt>
                <c:pt idx="3">
                  <c:v>Lower middle income</c:v>
                </c:pt>
                <c:pt idx="4">
                  <c:v>Upper middle income</c:v>
                </c:pt>
              </c:strCache>
            </c:strRef>
          </c:cat>
          <c:val>
            <c:numRef>
              <c:f>Sheet2!$E$4:$E$9</c:f>
              <c:numCache>
                <c:formatCode>0.0</c:formatCode>
                <c:ptCount val="5"/>
                <c:pt idx="0">
                  <c:v>50.915977128263052</c:v>
                </c:pt>
                <c:pt idx="1">
                  <c:v>65.244843835480339</c:v>
                </c:pt>
                <c:pt idx="2">
                  <c:v>18.868635222624853</c:v>
                </c:pt>
                <c:pt idx="3">
                  <c:v>33.731698810925906</c:v>
                </c:pt>
                <c:pt idx="4">
                  <c:v>58.84403132617291</c:v>
                </c:pt>
              </c:numCache>
            </c:numRef>
          </c:val>
          <c:smooth val="0"/>
          <c:extLst>
            <c:ext xmlns:c16="http://schemas.microsoft.com/office/drawing/2014/chart" uri="{C3380CC4-5D6E-409C-BE32-E72D297353CC}">
              <c16:uniqueId val="{00000003-1E07-4A56-9F98-6AD389BB3E93}"/>
            </c:ext>
          </c:extLst>
        </c:ser>
        <c:ser>
          <c:idx val="4"/>
          <c:order val="4"/>
          <c:tx>
            <c:strRef>
              <c:f>Sheet2!$F$3</c:f>
              <c:strCache>
                <c:ptCount val="1"/>
                <c:pt idx="0">
                  <c:v>Sum of 2025</c:v>
                </c:pt>
              </c:strCache>
            </c:strRef>
          </c:tx>
          <c:spPr>
            <a:ln w="28575" cap="rnd">
              <a:solidFill>
                <a:schemeClr val="accent5"/>
              </a:solidFill>
              <a:round/>
            </a:ln>
            <a:effectLst/>
          </c:spPr>
          <c:marker>
            <c:symbol val="none"/>
          </c:marker>
          <c:cat>
            <c:strRef>
              <c:f>Sheet2!$A$4:$A$9</c:f>
              <c:strCache>
                <c:ptCount val="5"/>
                <c:pt idx="0">
                  <c:v>Average Female</c:v>
                </c:pt>
                <c:pt idx="1">
                  <c:v>High income</c:v>
                </c:pt>
                <c:pt idx="2">
                  <c:v>Low income</c:v>
                </c:pt>
                <c:pt idx="3">
                  <c:v>Lower middle income</c:v>
                </c:pt>
                <c:pt idx="4">
                  <c:v>Upper middle income</c:v>
                </c:pt>
              </c:strCache>
            </c:strRef>
          </c:cat>
          <c:val>
            <c:numRef>
              <c:f>Sheet2!$F$4:$F$9</c:f>
              <c:numCache>
                <c:formatCode>0.0</c:formatCode>
                <c:ptCount val="5"/>
                <c:pt idx="0">
                  <c:v>51.071955200983261</c:v>
                </c:pt>
                <c:pt idx="1">
                  <c:v>65.298036857352088</c:v>
                </c:pt>
                <c:pt idx="2">
                  <c:v>19.073486398803663</c:v>
                </c:pt>
                <c:pt idx="3">
                  <c:v>33.97520686401009</c:v>
                </c:pt>
                <c:pt idx="4">
                  <c:v>59.060031394602319</c:v>
                </c:pt>
              </c:numCache>
            </c:numRef>
          </c:val>
          <c:smooth val="0"/>
          <c:extLst>
            <c:ext xmlns:c16="http://schemas.microsoft.com/office/drawing/2014/chart" uri="{C3380CC4-5D6E-409C-BE32-E72D297353CC}">
              <c16:uniqueId val="{00000004-1E07-4A56-9F98-6AD389BB3E93}"/>
            </c:ext>
          </c:extLst>
        </c:ser>
        <c:dLbls>
          <c:showLegendKey val="0"/>
          <c:showVal val="0"/>
          <c:showCatName val="0"/>
          <c:showSerName val="0"/>
          <c:showPercent val="0"/>
          <c:showBubbleSize val="0"/>
        </c:dLbls>
        <c:smooth val="0"/>
        <c:axId val="654164687"/>
        <c:axId val="410196303"/>
      </c:lineChart>
      <c:catAx>
        <c:axId val="65416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income variation of female yearly 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196303"/>
        <c:crosses val="autoZero"/>
        <c:auto val="1"/>
        <c:lblAlgn val="ctr"/>
        <c:lblOffset val="100"/>
        <c:noMultiLvlLbl val="0"/>
      </c:catAx>
      <c:valAx>
        <c:axId val="410196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perceentage variation yearly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16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Comparative Analysis of Wage and Salaried Workers by Income Level and Gender, 2025</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v>Male</c:v>
          </c:tx>
          <c:spPr>
            <a:solidFill>
              <a:schemeClr val="accent4">
                <a:shade val="53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Sheet1!$H$8</c:f>
              <c:numCache>
                <c:formatCode>General</c:formatCode>
                <c:ptCount val="1"/>
              </c:numCache>
            </c:numRef>
          </c:cat>
          <c:val>
            <c:numRef>
              <c:f>Sheet1!$F$3</c:f>
              <c:numCache>
                <c:formatCode>0.0</c:formatCode>
                <c:ptCount val="1"/>
                <c:pt idx="0">
                  <c:v>65.298036857352088</c:v>
                </c:pt>
              </c:numCache>
            </c:numRef>
          </c:val>
          <c:extLst>
            <c:ext xmlns:c16="http://schemas.microsoft.com/office/drawing/2014/chart" uri="{C3380CC4-5D6E-409C-BE32-E72D297353CC}">
              <c16:uniqueId val="{00000001-67CE-484E-A82D-2B6FE9C17209}"/>
            </c:ext>
          </c:extLst>
        </c:ser>
        <c:ser>
          <c:idx val="2"/>
          <c:order val="1"/>
          <c:tx>
            <c:v>Male</c:v>
          </c:tx>
          <c:spPr>
            <a:solidFill>
              <a:schemeClr val="accent4">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Sheet1!$H$8</c:f>
              <c:numCache>
                <c:formatCode>General</c:formatCode>
                <c:ptCount val="1"/>
              </c:numCache>
            </c:numRef>
          </c:cat>
          <c:val>
            <c:numRef>
              <c:f>Sheet1!$F$4</c:f>
              <c:numCache>
                <c:formatCode>0.0</c:formatCode>
                <c:ptCount val="1"/>
                <c:pt idx="0">
                  <c:v>19.073486398803663</c:v>
                </c:pt>
              </c:numCache>
            </c:numRef>
          </c:val>
          <c:extLst>
            <c:ext xmlns:c16="http://schemas.microsoft.com/office/drawing/2014/chart" uri="{C3380CC4-5D6E-409C-BE32-E72D297353CC}">
              <c16:uniqueId val="{00000002-67CE-484E-A82D-2B6FE9C17209}"/>
            </c:ext>
          </c:extLst>
        </c:ser>
        <c:ser>
          <c:idx val="3"/>
          <c:order val="2"/>
          <c:tx>
            <c:v>Male</c:v>
          </c:tx>
          <c:spPr>
            <a:solidFill>
              <a:schemeClr val="accent4">
                <a:shade val="7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Sheet1!$H$8</c:f>
              <c:numCache>
                <c:formatCode>General</c:formatCode>
                <c:ptCount val="1"/>
              </c:numCache>
            </c:numRef>
          </c:cat>
          <c:val>
            <c:numRef>
              <c:f>Sheet1!$F$5</c:f>
              <c:numCache>
                <c:formatCode>0.0</c:formatCode>
                <c:ptCount val="1"/>
                <c:pt idx="0">
                  <c:v>33.97520686401009</c:v>
                </c:pt>
              </c:numCache>
            </c:numRef>
          </c:val>
          <c:extLst>
            <c:ext xmlns:c16="http://schemas.microsoft.com/office/drawing/2014/chart" uri="{C3380CC4-5D6E-409C-BE32-E72D297353CC}">
              <c16:uniqueId val="{00000003-67CE-484E-A82D-2B6FE9C17209}"/>
            </c:ext>
          </c:extLst>
        </c:ser>
        <c:ser>
          <c:idx val="4"/>
          <c:order val="3"/>
          <c:tx>
            <c:v>Male</c:v>
          </c:tx>
          <c:spPr>
            <a:solidFill>
              <a:schemeClr val="accent4">
                <a:shade val="88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Sheet1!$H$8</c:f>
              <c:numCache>
                <c:formatCode>General</c:formatCode>
                <c:ptCount val="1"/>
              </c:numCache>
            </c:numRef>
          </c:cat>
          <c:val>
            <c:numRef>
              <c:f>Sheet1!$F$6</c:f>
              <c:numCache>
                <c:formatCode>0.0</c:formatCode>
                <c:ptCount val="1"/>
                <c:pt idx="0">
                  <c:v>59.060031394602319</c:v>
                </c:pt>
              </c:numCache>
            </c:numRef>
          </c:val>
          <c:extLst>
            <c:ext xmlns:c16="http://schemas.microsoft.com/office/drawing/2014/chart" uri="{C3380CC4-5D6E-409C-BE32-E72D297353CC}">
              <c16:uniqueId val="{00000004-67CE-484E-A82D-2B6FE9C17209}"/>
            </c:ext>
          </c:extLst>
        </c:ser>
        <c:ser>
          <c:idx val="7"/>
          <c:order val="4"/>
          <c:tx>
            <c:v>Female</c:v>
          </c:tx>
          <c:spPr>
            <a:solidFill>
              <a:schemeClr val="accent4">
                <a:tint val="77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Sheet1!$H$8</c:f>
              <c:numCache>
                <c:formatCode>General</c:formatCode>
                <c:ptCount val="1"/>
              </c:numCache>
            </c:numRef>
          </c:cat>
          <c:val>
            <c:numRef>
              <c:f>Sheet1!$F$11</c:f>
              <c:numCache>
                <c:formatCode>0.0</c:formatCode>
                <c:ptCount val="1"/>
                <c:pt idx="0">
                  <c:v>61.109808961117317</c:v>
                </c:pt>
              </c:numCache>
            </c:numRef>
          </c:val>
          <c:extLst>
            <c:ext xmlns:c16="http://schemas.microsoft.com/office/drawing/2014/chart" uri="{C3380CC4-5D6E-409C-BE32-E72D297353CC}">
              <c16:uniqueId val="{00000007-67CE-484E-A82D-2B6FE9C17209}"/>
            </c:ext>
          </c:extLst>
        </c:ser>
        <c:ser>
          <c:idx val="8"/>
          <c:order val="5"/>
          <c:tx>
            <c:v>Female</c:v>
          </c:tx>
          <c:spPr>
            <a:solidFill>
              <a:schemeClr val="accent4">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Sheet1!$H$8</c:f>
              <c:numCache>
                <c:formatCode>General</c:formatCode>
                <c:ptCount val="1"/>
              </c:numCache>
            </c:numRef>
          </c:cat>
          <c:val>
            <c:numRef>
              <c:f>Sheet1!$F$12</c:f>
              <c:numCache>
                <c:formatCode>0.0</c:formatCode>
                <c:ptCount val="1"/>
                <c:pt idx="0">
                  <c:v>29.203525988570391</c:v>
                </c:pt>
              </c:numCache>
            </c:numRef>
          </c:val>
          <c:extLst>
            <c:ext xmlns:c16="http://schemas.microsoft.com/office/drawing/2014/chart" uri="{C3380CC4-5D6E-409C-BE32-E72D297353CC}">
              <c16:uniqueId val="{00000008-67CE-484E-A82D-2B6FE9C17209}"/>
            </c:ext>
          </c:extLst>
        </c:ser>
        <c:ser>
          <c:idx val="9"/>
          <c:order val="6"/>
          <c:tx>
            <c:v>Female</c:v>
          </c:tx>
          <c:spPr>
            <a:solidFill>
              <a:schemeClr val="accent4">
                <a:tint val="54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Sheet1!$H$8</c:f>
              <c:numCache>
                <c:formatCode>General</c:formatCode>
                <c:ptCount val="1"/>
              </c:numCache>
            </c:numRef>
          </c:cat>
          <c:val>
            <c:numRef>
              <c:f>Sheet1!$F$13</c:f>
              <c:numCache>
                <c:formatCode>0.0</c:formatCode>
                <c:ptCount val="1"/>
                <c:pt idx="0">
                  <c:v>41.993389107246067</c:v>
                </c:pt>
              </c:numCache>
            </c:numRef>
          </c:val>
          <c:extLst>
            <c:ext xmlns:c16="http://schemas.microsoft.com/office/drawing/2014/chart" uri="{C3380CC4-5D6E-409C-BE32-E72D297353CC}">
              <c16:uniqueId val="{00000009-67CE-484E-A82D-2B6FE9C17209}"/>
            </c:ext>
          </c:extLst>
        </c:ser>
        <c:ser>
          <c:idx val="10"/>
          <c:order val="7"/>
          <c:tx>
            <c:v>Female</c:v>
          </c:tx>
          <c:spPr>
            <a:solidFill>
              <a:schemeClr val="accent4">
                <a:tint val="42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Sheet1!$H$8</c:f>
              <c:numCache>
                <c:formatCode>General</c:formatCode>
                <c:ptCount val="1"/>
              </c:numCache>
            </c:numRef>
          </c:cat>
          <c:val>
            <c:numRef>
              <c:f>Sheet1!$F$14</c:f>
              <c:numCache>
                <c:formatCode>0.0</c:formatCode>
                <c:ptCount val="1"/>
                <c:pt idx="0">
                  <c:v>58.091899808030213</c:v>
                </c:pt>
              </c:numCache>
            </c:numRef>
          </c:val>
          <c:extLst>
            <c:ext xmlns:c16="http://schemas.microsoft.com/office/drawing/2014/chart" uri="{C3380CC4-5D6E-409C-BE32-E72D297353CC}">
              <c16:uniqueId val="{0000000A-67CE-484E-A82D-2B6FE9C17209}"/>
            </c:ext>
          </c:extLst>
        </c:ser>
        <c:dLbls>
          <c:dLblPos val="outEnd"/>
          <c:showLegendKey val="0"/>
          <c:showVal val="1"/>
          <c:showCatName val="0"/>
          <c:showSerName val="0"/>
          <c:showPercent val="0"/>
          <c:showBubbleSize val="0"/>
        </c:dLbls>
        <c:gapWidth val="444"/>
        <c:overlap val="-90"/>
        <c:axId val="725797247"/>
        <c:axId val="727814479"/>
      </c:barChart>
      <c:catAx>
        <c:axId val="7257972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Income Level</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27814479"/>
        <c:crosses val="autoZero"/>
        <c:auto val="1"/>
        <c:lblAlgn val="ctr"/>
        <c:lblOffset val="100"/>
        <c:noMultiLvlLbl val="0"/>
      </c:catAx>
      <c:valAx>
        <c:axId val="727814479"/>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Wage salaries income percentage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crossAx val="7257972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517071</xdr:colOff>
      <xdr:row>0</xdr:row>
      <xdr:rowOff>95251</xdr:rowOff>
    </xdr:from>
    <xdr:to>
      <xdr:col>13</xdr:col>
      <xdr:colOff>134068</xdr:colOff>
      <xdr:row>6</xdr:row>
      <xdr:rowOff>61631</xdr:rowOff>
    </xdr:to>
    <xdr:sp macro="" textlink="">
      <xdr:nvSpPr>
        <xdr:cNvPr id="9" name="TextBox 8">
          <a:extLst>
            <a:ext uri="{FF2B5EF4-FFF2-40B4-BE49-F238E27FC236}">
              <a16:creationId xmlns:a16="http://schemas.microsoft.com/office/drawing/2014/main" id="{59CE9E9B-4501-4461-8335-334F6E726C83}"/>
            </a:ext>
          </a:extLst>
        </xdr:cNvPr>
        <xdr:cNvSpPr txBox="1"/>
      </xdr:nvSpPr>
      <xdr:spPr>
        <a:xfrm>
          <a:off x="7177768" y="95251"/>
          <a:ext cx="3495033" cy="1068559"/>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0" i="0">
              <a:solidFill>
                <a:schemeClr val="dk1"/>
              </a:solidFill>
              <a:effectLst/>
              <a:latin typeface="+mn-lt"/>
              <a:ea typeface="+mn-ea"/>
              <a:cs typeface="+mn-cs"/>
            </a:rPr>
            <a:t>There</a:t>
          </a:r>
          <a:r>
            <a:rPr lang="en-US" sz="1400" b="0" i="0" baseline="0">
              <a:solidFill>
                <a:schemeClr val="dk1"/>
              </a:solidFill>
              <a:effectLst/>
              <a:latin typeface="+mn-lt"/>
              <a:ea typeface="+mn-ea"/>
              <a:cs typeface="+mn-cs"/>
            </a:rPr>
            <a:t> are THREE tasks in this document, please scroll down to see them, you can review the responses on the next tab!  </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381339</xdr:colOff>
      <xdr:row>21</xdr:row>
      <xdr:rowOff>9524</xdr:rowOff>
    </xdr:from>
    <xdr:to>
      <xdr:col>5</xdr:col>
      <xdr:colOff>328612</xdr:colOff>
      <xdr:row>35</xdr:row>
      <xdr:rowOff>64633</xdr:rowOff>
    </xdr:to>
    <xdr:graphicFrame macro="">
      <xdr:nvGraphicFramePr>
        <xdr:cNvPr id="2" name="Chart 1">
          <a:extLst>
            <a:ext uri="{FF2B5EF4-FFF2-40B4-BE49-F238E27FC236}">
              <a16:creationId xmlns:a16="http://schemas.microsoft.com/office/drawing/2014/main" id="{7ACAA319-3982-4F0C-98EA-0FB9AF447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562655</xdr:colOff>
      <xdr:row>23</xdr:row>
      <xdr:rowOff>167368</xdr:rowOff>
    </xdr:from>
    <xdr:to>
      <xdr:col>14</xdr:col>
      <xdr:colOff>578303</xdr:colOff>
      <xdr:row>31</xdr:row>
      <xdr:rowOff>27215</xdr:rowOff>
    </xdr:to>
    <xdr:sp macro="" textlink="">
      <xdr:nvSpPr>
        <xdr:cNvPr id="3" name="TextBox 2">
          <a:extLst>
            <a:ext uri="{FF2B5EF4-FFF2-40B4-BE49-F238E27FC236}">
              <a16:creationId xmlns:a16="http://schemas.microsoft.com/office/drawing/2014/main" id="{4D63439E-583E-4BB1-AE27-EF4837B852ED}"/>
            </a:ext>
          </a:extLst>
        </xdr:cNvPr>
        <xdr:cNvSpPr txBox="1"/>
      </xdr:nvSpPr>
      <xdr:spPr>
        <a:xfrm>
          <a:off x="6563405" y="4329793"/>
          <a:ext cx="6264048" cy="130764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The data shows a slight downward trend in wage</a:t>
          </a:r>
          <a:r>
            <a:rPr lang="en-US" sz="1100" b="0" i="0" baseline="0">
              <a:solidFill>
                <a:schemeClr val="dk1"/>
              </a:solidFill>
              <a:effectLst/>
              <a:latin typeface="+mn-lt"/>
              <a:ea typeface="+mn-ea"/>
              <a:cs typeface="+mn-cs"/>
            </a:rPr>
            <a:t> and salaried workers </a:t>
          </a:r>
          <a:r>
            <a:rPr lang="en-US" sz="1100" b="0" i="0">
              <a:solidFill>
                <a:schemeClr val="dk1"/>
              </a:solidFill>
              <a:effectLst/>
              <a:latin typeface="+mn-lt"/>
              <a:ea typeface="+mn-ea"/>
              <a:cs typeface="+mn-cs"/>
            </a:rPr>
            <a:t>for both groups from 2021 to 2024, followed by a small uptick in 2025. Average male values remain consistently higher than average female values by about one point each year. Both groups move in parallel, suggesting they are influenced by similar external factors. Overall, the differences are stable, and the year‑to‑year changes are minimal.</a:t>
          </a:r>
        </a:p>
        <a:p>
          <a:endParaRPr lang="en-US" sz="1100"/>
        </a:p>
      </xdr:txBody>
    </xdr:sp>
    <xdr:clientData/>
  </xdr:twoCellAnchor>
  <xdr:twoCellAnchor>
    <xdr:from>
      <xdr:col>8</xdr:col>
      <xdr:colOff>2</xdr:colOff>
      <xdr:row>2</xdr:row>
      <xdr:rowOff>78442</xdr:rowOff>
    </xdr:from>
    <xdr:to>
      <xdr:col>13</xdr:col>
      <xdr:colOff>263338</xdr:colOff>
      <xdr:row>8</xdr:row>
      <xdr:rowOff>44823</xdr:rowOff>
    </xdr:to>
    <xdr:sp macro="" textlink="">
      <xdr:nvSpPr>
        <xdr:cNvPr id="4" name="TextBox 3">
          <a:extLst>
            <a:ext uri="{FF2B5EF4-FFF2-40B4-BE49-F238E27FC236}">
              <a16:creationId xmlns:a16="http://schemas.microsoft.com/office/drawing/2014/main" id="{15BE538B-10BE-42DC-A4B0-E7ADEE19B7E8}"/>
            </a:ext>
          </a:extLst>
        </xdr:cNvPr>
        <xdr:cNvSpPr txBox="1"/>
      </xdr:nvSpPr>
      <xdr:spPr>
        <a:xfrm>
          <a:off x="8086727" y="440392"/>
          <a:ext cx="3778061" cy="1052231"/>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0" i="0">
              <a:solidFill>
                <a:schemeClr val="dk1"/>
              </a:solidFill>
              <a:effectLst/>
              <a:latin typeface="+mn-lt"/>
              <a:ea typeface="+mn-ea"/>
              <a:cs typeface="+mn-cs"/>
            </a:rPr>
            <a:t>There</a:t>
          </a:r>
          <a:r>
            <a:rPr lang="en-US" sz="1400" b="0" i="0" baseline="0">
              <a:solidFill>
                <a:schemeClr val="dk1"/>
              </a:solidFill>
              <a:effectLst/>
              <a:latin typeface="+mn-lt"/>
              <a:ea typeface="+mn-ea"/>
              <a:cs typeface="+mn-cs"/>
            </a:rPr>
            <a:t> are THREE tasks in this document, please scroll down to see them, you can review the responses on the next tab!  </a:t>
          </a:r>
          <a:endParaRPr lang="en-US" sz="1400"/>
        </a:p>
      </xdr:txBody>
    </xdr:sp>
    <xdr:clientData/>
  </xdr:twoCellAnchor>
  <xdr:twoCellAnchor>
    <xdr:from>
      <xdr:col>0</xdr:col>
      <xdr:colOff>0</xdr:colOff>
      <xdr:row>41</xdr:row>
      <xdr:rowOff>75068</xdr:rowOff>
    </xdr:from>
    <xdr:to>
      <xdr:col>6</xdr:col>
      <xdr:colOff>512372</xdr:colOff>
      <xdr:row>56</xdr:row>
      <xdr:rowOff>153308</xdr:rowOff>
    </xdr:to>
    <xdr:graphicFrame macro="">
      <xdr:nvGraphicFramePr>
        <xdr:cNvPr id="5" name="Chart 4">
          <a:extLst>
            <a:ext uri="{FF2B5EF4-FFF2-40B4-BE49-F238E27FC236}">
              <a16:creationId xmlns:a16="http://schemas.microsoft.com/office/drawing/2014/main" id="{7DE5A326-9087-490B-93BA-7693D3B7B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54</xdr:row>
      <xdr:rowOff>147204</xdr:rowOff>
    </xdr:from>
    <xdr:to>
      <xdr:col>6</xdr:col>
      <xdr:colOff>34638</xdr:colOff>
      <xdr:row>62</xdr:row>
      <xdr:rowOff>69271</xdr:rowOff>
    </xdr:to>
    <xdr:graphicFrame macro="">
      <xdr:nvGraphicFramePr>
        <xdr:cNvPr id="6" name="Chart 5">
          <a:extLst>
            <a:ext uri="{FF2B5EF4-FFF2-40B4-BE49-F238E27FC236}">
              <a16:creationId xmlns:a16="http://schemas.microsoft.com/office/drawing/2014/main" id="{429F397C-25D6-4A74-8C1E-04385D94D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64729</xdr:colOff>
      <xdr:row>44</xdr:row>
      <xdr:rowOff>137895</xdr:rowOff>
    </xdr:from>
    <xdr:to>
      <xdr:col>14</xdr:col>
      <xdr:colOff>458933</xdr:colOff>
      <xdr:row>54</xdr:row>
      <xdr:rowOff>77931</xdr:rowOff>
    </xdr:to>
    <xdr:sp macro="" textlink="">
      <xdr:nvSpPr>
        <xdr:cNvPr id="7" name="TextBox 6">
          <a:extLst>
            <a:ext uri="{FF2B5EF4-FFF2-40B4-BE49-F238E27FC236}">
              <a16:creationId xmlns:a16="http://schemas.microsoft.com/office/drawing/2014/main" id="{C642F1FE-C4E9-40D2-A7E2-72E64676F15C}"/>
            </a:ext>
          </a:extLst>
        </xdr:cNvPr>
        <xdr:cNvSpPr txBox="1"/>
      </xdr:nvSpPr>
      <xdr:spPr>
        <a:xfrm>
          <a:off x="6713179" y="8229383"/>
          <a:ext cx="5994904" cy="174978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US" sz="1100" b="0" i="0">
              <a:solidFill>
                <a:schemeClr val="dk1"/>
              </a:solidFill>
              <a:effectLst/>
              <a:latin typeface="+mn-lt"/>
              <a:ea typeface="+mn-ea"/>
              <a:cs typeface="+mn-cs"/>
            </a:rPr>
            <a:t>The 2025 data shows notable variation in female and male outcomes across income groups. In high‑income settings, females outperform males by </a:t>
          </a:r>
          <a:r>
            <a:rPr lang="en-US" sz="1100" b="1" i="0">
              <a:solidFill>
                <a:schemeClr val="dk1"/>
              </a:solidFill>
              <a:effectLst/>
              <a:latin typeface="+mn-lt"/>
              <a:ea typeface="+mn-ea"/>
              <a:cs typeface="+mn-cs"/>
            </a:rPr>
            <a:t>4.2 points</a:t>
          </a:r>
          <a:r>
            <a:rPr lang="en-US" sz="1100" b="0" i="0">
              <a:solidFill>
                <a:schemeClr val="dk1"/>
              </a:solidFill>
              <a:effectLst/>
              <a:latin typeface="+mn-lt"/>
              <a:ea typeface="+mn-ea"/>
              <a:cs typeface="+mn-cs"/>
            </a:rPr>
            <a:t>, indicating a positive gap where women hold an advantage. However, this pattern reverses in lower‑income contexts: in the low‑income group, males lead by a substantial </a:t>
          </a:r>
          <a:r>
            <a:rPr lang="en-US" sz="1100" b="1" i="0">
              <a:solidFill>
                <a:schemeClr val="dk1"/>
              </a:solidFill>
              <a:effectLst/>
              <a:latin typeface="+mn-lt"/>
              <a:ea typeface="+mn-ea"/>
              <a:cs typeface="+mn-cs"/>
            </a:rPr>
            <a:t>10.1‑point</a:t>
          </a:r>
          <a:r>
            <a:rPr lang="en-US" sz="1100" b="0" i="0">
              <a:solidFill>
                <a:schemeClr val="dk1"/>
              </a:solidFill>
              <a:effectLst/>
              <a:latin typeface="+mn-lt"/>
              <a:ea typeface="+mn-ea"/>
              <a:cs typeface="+mn-cs"/>
            </a:rPr>
            <a:t> margin, and in the lower‑middle‑income group, males maintain an </a:t>
          </a:r>
          <a:r>
            <a:rPr lang="en-US" sz="1100" b="1" i="0">
              <a:solidFill>
                <a:schemeClr val="dk1"/>
              </a:solidFill>
              <a:effectLst/>
              <a:latin typeface="+mn-lt"/>
              <a:ea typeface="+mn-ea"/>
              <a:cs typeface="+mn-cs"/>
            </a:rPr>
            <a:t>8‑point</a:t>
          </a:r>
          <a:r>
            <a:rPr lang="en-US" sz="1100" b="0" i="0">
              <a:solidFill>
                <a:schemeClr val="dk1"/>
              </a:solidFill>
              <a:effectLst/>
              <a:latin typeface="+mn-lt"/>
              <a:ea typeface="+mn-ea"/>
              <a:cs typeface="+mn-cs"/>
            </a:rPr>
            <a:t> advantage. Upper‑middle‑income countries show a narrow gap of </a:t>
          </a:r>
          <a:r>
            <a:rPr lang="en-US" sz="1100" b="1" i="0">
              <a:solidFill>
                <a:schemeClr val="dk1"/>
              </a:solidFill>
              <a:effectLst/>
              <a:latin typeface="+mn-lt"/>
              <a:ea typeface="+mn-ea"/>
              <a:cs typeface="+mn-cs"/>
            </a:rPr>
            <a:t>1 point</a:t>
          </a:r>
          <a:r>
            <a:rPr lang="en-US" sz="1100" b="0" i="0">
              <a:solidFill>
                <a:schemeClr val="dk1"/>
              </a:solidFill>
              <a:effectLst/>
              <a:latin typeface="+mn-lt"/>
              <a:ea typeface="+mn-ea"/>
              <a:cs typeface="+mn-cs"/>
            </a:rPr>
            <a:t> in favor of females, suggesting near parity. Overall, the data highlights that gender differences are not uniform; rather, they shift significantly depending on the economic context, with women performing best in higher‑income environments and men performing better in lower‑income ones.</a:t>
          </a:r>
        </a:p>
        <a:p>
          <a:endParaRPr lang="en-US" sz="1100"/>
        </a:p>
      </xdr:txBody>
    </xdr:sp>
    <xdr:clientData/>
  </xdr:twoCellAnchor>
  <xdr:twoCellAnchor>
    <xdr:from>
      <xdr:col>0</xdr:col>
      <xdr:colOff>241527</xdr:colOff>
      <xdr:row>64</xdr:row>
      <xdr:rowOff>81642</xdr:rowOff>
    </xdr:from>
    <xdr:to>
      <xdr:col>5</xdr:col>
      <xdr:colOff>1000124</xdr:colOff>
      <xdr:row>92</xdr:row>
      <xdr:rowOff>130968</xdr:rowOff>
    </xdr:to>
    <xdr:graphicFrame macro="">
      <xdr:nvGraphicFramePr>
        <xdr:cNvPr id="8" name="Chart 7">
          <a:extLst>
            <a:ext uri="{FF2B5EF4-FFF2-40B4-BE49-F238E27FC236}">
              <a16:creationId xmlns:a16="http://schemas.microsoft.com/office/drawing/2014/main" id="{537A41F6-9216-4F8A-BA97-1EA5D7AC6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619124</xdr:colOff>
      <xdr:row>70</xdr:row>
      <xdr:rowOff>102052</xdr:rowOff>
    </xdr:from>
    <xdr:to>
      <xdr:col>15</xdr:col>
      <xdr:colOff>394607</xdr:colOff>
      <xdr:row>80</xdr:row>
      <xdr:rowOff>68034</xdr:rowOff>
    </xdr:to>
    <xdr:sp macro="" textlink="">
      <xdr:nvSpPr>
        <xdr:cNvPr id="9" name="TextBox 8">
          <a:extLst>
            <a:ext uri="{FF2B5EF4-FFF2-40B4-BE49-F238E27FC236}">
              <a16:creationId xmlns:a16="http://schemas.microsoft.com/office/drawing/2014/main" id="{7E522D8A-24C1-4922-8DD3-7DBD343834DA}"/>
            </a:ext>
          </a:extLst>
        </xdr:cNvPr>
        <xdr:cNvSpPr txBox="1"/>
      </xdr:nvSpPr>
      <xdr:spPr>
        <a:xfrm>
          <a:off x="6619874" y="13079865"/>
          <a:ext cx="6671583" cy="177573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Between 2021 and 2025, participation increased </a:t>
          </a:r>
          <a:r>
            <a:rPr lang="en-US" sz="1100" b="1" i="0">
              <a:solidFill>
                <a:schemeClr val="dk1"/>
              </a:solidFill>
              <a:effectLst/>
              <a:latin typeface="+mn-lt"/>
              <a:ea typeface="+mn-ea"/>
              <a:cs typeface="+mn-cs"/>
            </a:rPr>
            <a:t>only in high‑income countries</a:t>
          </a:r>
          <a:r>
            <a:rPr lang="en-US" sz="1100" b="0" i="0">
              <a:solidFill>
                <a:schemeClr val="dk1"/>
              </a:solidFill>
              <a:effectLst/>
              <a:latin typeface="+mn-lt"/>
              <a:ea typeface="+mn-ea"/>
              <a:cs typeface="+mn-cs"/>
            </a:rPr>
            <a:t>, where both females (+0.2) and males (+0.6) saw modest gains. In contrast, all other income groups experienced declines for both genders, with the </a:t>
          </a:r>
          <a:r>
            <a:rPr lang="en-US" sz="1100" b="1" i="0">
              <a:solidFill>
                <a:schemeClr val="dk1"/>
              </a:solidFill>
              <a:effectLst/>
              <a:latin typeface="+mn-lt"/>
              <a:ea typeface="+mn-ea"/>
              <a:cs typeface="+mn-cs"/>
            </a:rPr>
            <a:t>largest decrease recorded in low‑income countries</a:t>
          </a:r>
          <a:r>
            <a:rPr lang="en-US" sz="1100" b="0" i="0">
              <a:solidFill>
                <a:schemeClr val="dk1"/>
              </a:solidFill>
              <a:effectLst/>
              <a:latin typeface="+mn-lt"/>
              <a:ea typeface="+mn-ea"/>
              <a:cs typeface="+mn-cs"/>
            </a:rPr>
            <a:t>, where female participation fell by 1.6 points and male participation dropped even more sharply by 2.4 points. Lower‑middle‑income countries also showed notable declines, especially for females (–2.5), indicating widening vulnerability in mid‑tier economies. Globally, the overall pattern shows a small but consistent downward shift (–0.8 for females and –0.6 for males), emphasizing that employment pressure affected most of the world except the highest‑income economies.</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518160</xdr:colOff>
      <xdr:row>3</xdr:row>
      <xdr:rowOff>137160</xdr:rowOff>
    </xdr:from>
    <xdr:to>
      <xdr:col>14</xdr:col>
      <xdr:colOff>213360</xdr:colOff>
      <xdr:row>20</xdr:row>
      <xdr:rowOff>49530</xdr:rowOff>
    </xdr:to>
    <xdr:graphicFrame macro="">
      <xdr:nvGraphicFramePr>
        <xdr:cNvPr id="2" name="Chart 1">
          <a:extLst>
            <a:ext uri="{FF2B5EF4-FFF2-40B4-BE49-F238E27FC236}">
              <a16:creationId xmlns:a16="http://schemas.microsoft.com/office/drawing/2014/main" id="{56B83CF8-4254-A750-0E17-7B1DE4511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342900</xdr:colOff>
      <xdr:row>6</xdr:row>
      <xdr:rowOff>19050</xdr:rowOff>
    </xdr:from>
    <xdr:to>
      <xdr:col>14</xdr:col>
      <xdr:colOff>38100</xdr:colOff>
      <xdr:row>23</xdr:row>
      <xdr:rowOff>0</xdr:rowOff>
    </xdr:to>
    <xdr:graphicFrame macro="">
      <xdr:nvGraphicFramePr>
        <xdr:cNvPr id="2" name="Chart 1">
          <a:extLst>
            <a:ext uri="{FF2B5EF4-FFF2-40B4-BE49-F238E27FC236}">
              <a16:creationId xmlns:a16="http://schemas.microsoft.com/office/drawing/2014/main" id="{130A054D-7479-6FD9-A9BC-B23F9A7CE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358140</xdr:colOff>
      <xdr:row>3</xdr:row>
      <xdr:rowOff>95250</xdr:rowOff>
    </xdr:from>
    <xdr:to>
      <xdr:col>14</xdr:col>
      <xdr:colOff>53340</xdr:colOff>
      <xdr:row>18</xdr:row>
      <xdr:rowOff>95250</xdr:rowOff>
    </xdr:to>
    <xdr:graphicFrame macro="">
      <xdr:nvGraphicFramePr>
        <xdr:cNvPr id="2" name="Chart 1">
          <a:extLst>
            <a:ext uri="{FF2B5EF4-FFF2-40B4-BE49-F238E27FC236}">
              <a16:creationId xmlns:a16="http://schemas.microsoft.com/office/drawing/2014/main" id="{8615D6AC-B7B9-0B35-AD14-3DC113B49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68580</xdr:colOff>
      <xdr:row>2</xdr:row>
      <xdr:rowOff>121920</xdr:rowOff>
    </xdr:from>
    <xdr:to>
      <xdr:col>14</xdr:col>
      <xdr:colOff>243840</xdr:colOff>
      <xdr:row>24</xdr:row>
      <xdr:rowOff>99060</xdr:rowOff>
    </xdr:to>
    <xdr:graphicFrame macro="">
      <xdr:nvGraphicFramePr>
        <xdr:cNvPr id="2" name="Chart 1">
          <a:extLst>
            <a:ext uri="{FF2B5EF4-FFF2-40B4-BE49-F238E27FC236}">
              <a16:creationId xmlns:a16="http://schemas.microsoft.com/office/drawing/2014/main" id="{39DC434C-21E4-3392-8B8E-BD19AD2E01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309.478814120368" createdVersion="8" refreshedVersion="8" minRefreshableVersion="3" recordCount="5" xr:uid="{2866B7C9-AFCE-4D55-9235-018B1B286260}">
  <cacheSource type="worksheet">
    <worksheetSource name="Table587"/>
  </cacheSource>
  <cacheFields count="6">
    <cacheField name="Row Labels" numFmtId="0">
      <sharedItems count="5">
        <s v="High income"/>
        <s v="Low income"/>
        <s v="Lower middle income"/>
        <s v="Upper middle income"/>
        <s v="Average Female"/>
      </sharedItems>
    </cacheField>
    <cacheField name="2021" numFmtId="164">
      <sharedItems containsSemiMixedTypes="0" containsString="0" containsNumber="1" minValue="20.716267609450579" maxValue="65.053818791658969"/>
    </cacheField>
    <cacheField name="2022" numFmtId="164">
      <sharedItems containsSemiMixedTypes="0" containsString="0" containsNumber="1" minValue="20.968212008409246" maxValue="65.013264403190078"/>
    </cacheField>
    <cacheField name="2023" numFmtId="164">
      <sharedItems containsSemiMixedTypes="0" containsString="0" containsNumber="1" minValue="19.33179667446116" maxValue="65.195344299233085"/>
    </cacheField>
    <cacheField name="2024" numFmtId="164">
      <sharedItems containsSemiMixedTypes="0" containsString="0" containsNumber="1" minValue="18.868635222624853" maxValue="65.244843835480339"/>
    </cacheField>
    <cacheField name="2025" numFmtId="164">
      <sharedItems containsSemiMixedTypes="0" containsString="0" containsNumber="1" minValue="19.073486398803663" maxValue="65.29803685735208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309.493197222226" backgroundQuery="1" createdVersion="8" refreshedVersion="8" minRefreshableVersion="3" recordCount="0" supportSubquery="1" supportAdvancedDrill="1" xr:uid="{6D3BA953-D63F-45E6-BADA-42E92225FD7E}">
  <cacheSource type="external" connectionId="1"/>
  <cacheFields count="6">
    <cacheField name="[Table3769].[Income Levels].[Income Levels]" caption="Income Levels" numFmtId="0" level="1">
      <sharedItems count="5">
        <s v="Average Male"/>
        <s v="High income"/>
        <s v="Low income"/>
        <s v="Lower middle income"/>
        <s v="Upper middle income"/>
      </sharedItems>
    </cacheField>
    <cacheField name="[Measures].[Sum of 2021]" caption="Sum of 2021" numFmtId="0" hierarchy="8" level="32767"/>
    <cacheField name="[Measures].[Sum of 2022]" caption="Sum of 2022" numFmtId="0" hierarchy="9" level="32767"/>
    <cacheField name="[Measures].[Sum of 2023]" caption="Sum of 2023" numFmtId="0" hierarchy="10" level="32767"/>
    <cacheField name="[Measures].[Sum of 2024]" caption="Sum of 2024" numFmtId="0" hierarchy="11" level="32767"/>
    <cacheField name="[Measures].[Sum of 2025]" caption="Sum of 2025" numFmtId="0" hierarchy="12" level="32767"/>
  </cacheFields>
  <cacheHierarchies count="13">
    <cacheHierarchy uniqueName="[Table3769].[Income Levels]" caption="Income Levels" attribute="1" defaultMemberUniqueName="[Table3769].[Income Levels].[All]" allUniqueName="[Table3769].[Income Levels].[All]" dimensionUniqueName="[Table3769]" displayFolder="" count="2" memberValueDatatype="130" unbalanced="0">
      <fieldsUsage count="2">
        <fieldUsage x="-1"/>
        <fieldUsage x="0"/>
      </fieldsUsage>
    </cacheHierarchy>
    <cacheHierarchy uniqueName="[Table3769].[2021]" caption="2021" attribute="1" defaultMemberUniqueName="[Table3769].[2021].[All]" allUniqueName="[Table3769].[2021].[All]" dimensionUniqueName="[Table3769]" displayFolder="" count="0" memberValueDatatype="5" unbalanced="0"/>
    <cacheHierarchy uniqueName="[Table3769].[2022]" caption="2022" attribute="1" defaultMemberUniqueName="[Table3769].[2022].[All]" allUniqueName="[Table3769].[2022].[All]" dimensionUniqueName="[Table3769]" displayFolder="" count="0" memberValueDatatype="5" unbalanced="0"/>
    <cacheHierarchy uniqueName="[Table3769].[2023]" caption="2023" attribute="1" defaultMemberUniqueName="[Table3769].[2023].[All]" allUniqueName="[Table3769].[2023].[All]" dimensionUniqueName="[Table3769]" displayFolder="" count="0" memberValueDatatype="5" unbalanced="0"/>
    <cacheHierarchy uniqueName="[Table3769].[2024]" caption="2024" attribute="1" defaultMemberUniqueName="[Table3769].[2024].[All]" allUniqueName="[Table3769].[2024].[All]" dimensionUniqueName="[Table3769]" displayFolder="" count="0" memberValueDatatype="5" unbalanced="0"/>
    <cacheHierarchy uniqueName="[Table3769].[2025]" caption="2025" attribute="1" defaultMemberUniqueName="[Table3769].[2025].[All]" allUniqueName="[Table3769].[2025].[All]" dimensionUniqueName="[Table3769]" displayFolder="" count="0" memberValueDatatype="5" unbalanced="0"/>
    <cacheHierarchy uniqueName="[Measures].[__XL_Count Table3769]" caption="__XL_Count Table3769" measure="1" displayFolder="" measureGroup="Table3769" count="0" hidden="1"/>
    <cacheHierarchy uniqueName="[Measures].[__No measures defined]" caption="__No measures defined" measure="1" displayFolder="" count="0" hidden="1"/>
    <cacheHierarchy uniqueName="[Measures].[Sum of 2021]" caption="Sum of 2021" measure="1" displayFolder="" measureGroup="Table3769"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2022]" caption="Sum of 2022" measure="1" displayFolder="" measureGroup="Table3769"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2023]" caption="Sum of 2023" measure="1" displayFolder="" measureGroup="Table3769"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2024]" caption="Sum of 2024" measure="1" displayFolder="" measureGroup="Table3769"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2025]" caption="Sum of 2025" measure="1" displayFolder="" measureGroup="Table3769" count="0" oneField="1" hidden="1">
      <fieldsUsage count="1">
        <fieldUsage x="5"/>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3769" uniqueName="[Table3769]" caption="Table3769"/>
  </dimensions>
  <measureGroups count="1">
    <measureGroup name="Table3769" caption="Table3769"/>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65.053818791658969"/>
    <n v="65.013264403190078"/>
    <n v="65.195344299233085"/>
    <n v="65.244843835480339"/>
    <n v="65.298036857352088"/>
  </r>
  <r>
    <x v="1"/>
    <n v="20.716267609450579"/>
    <n v="20.968212008409246"/>
    <n v="19.33179667446116"/>
    <n v="18.868635222624853"/>
    <n v="19.073486398803663"/>
  </r>
  <r>
    <x v="2"/>
    <n v="36.50689246506186"/>
    <n v="36.539958523528398"/>
    <n v="35.215360307116562"/>
    <n v="33.731698810925906"/>
    <n v="33.97520686401009"/>
  </r>
  <r>
    <x v="3"/>
    <n v="59.394283013989984"/>
    <n v="58.188354455271444"/>
    <n v="58.619439956053448"/>
    <n v="58.84403132617291"/>
    <n v="59.060031394602319"/>
  </r>
  <r>
    <x v="4"/>
    <n v="51.838004708499923"/>
    <n v="51.555884212305408"/>
    <n v="51.238661858503669"/>
    <n v="50.915977128263052"/>
    <n v="51.0719552009832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886B83-630F-48C5-9F91-753F95A6E505}" name="PivotTable3"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3:F9"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5">
    <i>
      <x/>
    </i>
    <i i="1">
      <x v="1"/>
    </i>
    <i i="2">
      <x v="2"/>
    </i>
    <i i="3">
      <x v="3"/>
    </i>
    <i i="4">
      <x v="4"/>
    </i>
  </colItems>
  <dataFields count="5">
    <dataField name="Sum of 2021" fld="1" baseField="0" baseItem="0"/>
    <dataField name="Sum of 2022" fld="2" baseField="0" baseItem="0"/>
    <dataField name="Sum of 2023" fld="3" baseField="0" baseItem="0"/>
    <dataField name="Sum of 2024" fld="4" baseField="0" baseItem="0"/>
    <dataField name="Sum of 2025" fld="5" baseField="0" baseItem="0"/>
  </dataFields>
  <chartFormats count="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s>
  <pivotHierarchies count="13">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4 - Exercise 1.xlsx!Table3769">
        <x15:activeTabTopLevelEntity name="[Table376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AC0A93-5CF7-44BD-B1F5-B04A723888A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9" firstHeaderRow="0" firstDataRow="1" firstDataCol="1"/>
  <pivotFields count="6">
    <pivotField axis="axisRow" showAll="0">
      <items count="6">
        <item x="4"/>
        <item x="0"/>
        <item x="1"/>
        <item x="2"/>
        <item x="3"/>
        <item t="default"/>
      </items>
    </pivotField>
    <pivotField dataField="1" numFmtId="164" showAll="0"/>
    <pivotField dataField="1" numFmtId="164" showAll="0"/>
    <pivotField dataField="1" numFmtId="164" showAll="0"/>
    <pivotField dataField="1" numFmtId="164" showAll="0"/>
    <pivotField dataField="1" numFmtId="164" showAll="0"/>
  </pivotFields>
  <rowFields count="1">
    <field x="0"/>
  </rowFields>
  <rowItems count="6">
    <i>
      <x/>
    </i>
    <i>
      <x v="1"/>
    </i>
    <i>
      <x v="2"/>
    </i>
    <i>
      <x v="3"/>
    </i>
    <i>
      <x v="4"/>
    </i>
    <i t="grand">
      <x/>
    </i>
  </rowItems>
  <colFields count="1">
    <field x="-2"/>
  </colFields>
  <colItems count="5">
    <i>
      <x/>
    </i>
    <i i="1">
      <x v="1"/>
    </i>
    <i i="2">
      <x v="2"/>
    </i>
    <i i="3">
      <x v="3"/>
    </i>
    <i i="4">
      <x v="4"/>
    </i>
  </colItems>
  <dataFields count="5">
    <dataField name="Sum of 2021" fld="1" baseField="0" baseItem="0" numFmtId="164"/>
    <dataField name="Sum of 2022" fld="2" baseField="0" baseItem="0" numFmtId="164"/>
    <dataField name="Sum of 2023" fld="3" baseField="0" baseItem="0" numFmtId="164"/>
    <dataField name="Sum of 2024" fld="4" baseField="0" baseItem="0" numFmtId="164"/>
    <dataField name="Sum of 2025" fld="5" baseField="0" baseItem="0" numFmtId="164"/>
  </dataFields>
  <chartFormats count="5">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 chart="5"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316417-450B-4765-B3AE-F9796C6F5A56}" name="Table3" displayName="Table3" ref="A10:F15" totalsRowShown="0" headerRowDxfId="35">
  <autoFilter ref="A10:F15" xr:uid="{CCD1E31A-E877-4091-8545-1ED434068E2E}"/>
  <tableColumns count="6">
    <tableColumn id="1" xr3:uid="{14DB447D-10D9-4D3C-99C3-B965386A7952}" name="Income Levels"/>
    <tableColumn id="2" xr3:uid="{B86FB62F-54B0-4C8C-8BF7-06A0CF41FC38}" name="2021" dataDxfId="34"/>
    <tableColumn id="3" xr3:uid="{4EBD8A86-1814-4C9A-A786-4385A1CC316F}" name="2022" dataDxfId="33"/>
    <tableColumn id="4" xr3:uid="{08C6740D-E114-489F-88B5-DCBC655AA2B2}" name="2023" dataDxfId="32"/>
    <tableColumn id="5" xr3:uid="{29C68C36-2290-40D1-ACBC-FFBBB99313F5}" name="2024" dataDxfId="31"/>
    <tableColumn id="6" xr3:uid="{D98CFB49-5290-475D-9F40-9ADD63969FF1}" name="2025" dataDxfId="30"/>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54B866-8B7D-4BD6-91B9-549E4DB0BD58}" name="Table5" displayName="Table5" ref="A2:F7" totalsRowShown="0" headerRowDxfId="29">
  <autoFilter ref="A2:F7" xr:uid="{0341E868-1724-4CA0-A128-C5D1F4D46DFB}"/>
  <tableColumns count="6">
    <tableColumn id="1" xr3:uid="{8F1F0A3E-E728-45B8-8EC2-0698EC7FE151}" name="Row Labels"/>
    <tableColumn id="2" xr3:uid="{87320046-2804-4FAD-ABCD-58E795A8B91A}" name="2021" dataDxfId="28"/>
    <tableColumn id="3" xr3:uid="{B26AD408-D533-4E96-813C-5FFDBFDA5C8C}" name="2022" dataDxfId="27"/>
    <tableColumn id="4" xr3:uid="{569C1518-76CA-4464-954D-763FE44E8DE5}" name="2023" dataDxfId="26"/>
    <tableColumn id="5" xr3:uid="{989AD753-6E9E-405A-B04C-2ED2930EA2B7}" name="2024" dataDxfId="25"/>
    <tableColumn id="6" xr3:uid="{AE60567C-747A-46F4-AFC3-0E1244F86EDC}" name="2025" dataDxfId="24"/>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490DBA-C9C2-4FDF-A8E1-303DEE59F178}" name="Table37" displayName="Table37" ref="A10:F15" totalsRowShown="0" headerRowDxfId="47">
  <autoFilter ref="A10:F15" xr:uid="{CCD1E31A-E877-4091-8545-1ED434068E2E}"/>
  <tableColumns count="6">
    <tableColumn id="1" xr3:uid="{9A10FDC2-F103-461C-B9B5-7B4A126911D0}" name="Income Levels"/>
    <tableColumn id="2" xr3:uid="{E2119838-2A71-408B-A677-62B402ADC6E1}" name="2021" dataDxfId="46"/>
    <tableColumn id="3" xr3:uid="{43154E0D-2D38-417F-9577-C52D627B1570}" name="2022" dataDxfId="45"/>
    <tableColumn id="4" xr3:uid="{C689B097-A058-4C38-B6A8-CAC93F36BE2B}" name="2023" dataDxfId="44"/>
    <tableColumn id="5" xr3:uid="{31CFE582-3B33-469A-BDA8-33834C8E60A0}" name="2024" dataDxfId="43"/>
    <tableColumn id="6" xr3:uid="{D81075CC-CE90-4D83-9D78-A4E03DD53C46}" name="2025" dataDxfId="42"/>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195CF6-96BF-44FE-84A0-F74689C5A697}" name="Table58" displayName="Table58" ref="A2:F7" totalsRowShown="0" headerRowDxfId="41">
  <autoFilter ref="A2:F7" xr:uid="{0341E868-1724-4CA0-A128-C5D1F4D46DFB}"/>
  <tableColumns count="6">
    <tableColumn id="1" xr3:uid="{56234912-117D-4373-951E-B586DE216131}" name="Row Labels"/>
    <tableColumn id="2" xr3:uid="{A41A66F8-72C0-440D-83DD-AF3AC166DFB1}" name="2021" dataDxfId="40"/>
    <tableColumn id="3" xr3:uid="{27911C20-FAD1-42F0-B4CE-A53483A255DB}" name="2022" dataDxfId="39"/>
    <tableColumn id="4" xr3:uid="{54552CD9-F2AA-45E8-8404-9A55F544802C}" name="2023" dataDxfId="38"/>
    <tableColumn id="5" xr3:uid="{90B87350-ED29-443F-9047-0845137E06C5}" name="2024" dataDxfId="37"/>
    <tableColumn id="6" xr3:uid="{75CAAE21-731C-4E7E-B199-8546ACB82102}" name="2025" dataDxfId="36"/>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DD33083-E746-435F-935E-67FD0D058709}" name="Table37610" displayName="Table37610" ref="A12:F17" totalsRowShown="0" headerRowDxfId="11">
  <autoFilter ref="A12:F17" xr:uid="{3DD33083-E746-435F-935E-67FD0D058709}"/>
  <tableColumns count="6">
    <tableColumn id="1" xr3:uid="{64354AC4-2292-4907-8B48-E88D8E639699}" name="Income Levels"/>
    <tableColumn id="2" xr3:uid="{BA33AF35-5477-49A4-A1B4-DB62E56FF85B}" name="2021" dataDxfId="10"/>
    <tableColumn id="3" xr3:uid="{646475BA-6535-42E9-9DBB-87E92714A365}" name="2022" dataDxfId="9"/>
    <tableColumn id="4" xr3:uid="{2222D54C-3A29-4A82-A45D-B96CFF9B8987}" name="2023" dataDxfId="8"/>
    <tableColumn id="5" xr3:uid="{5F3000CC-C164-4766-8624-8B921F36818A}" name="2024" dataDxfId="7"/>
    <tableColumn id="6" xr3:uid="{538B9128-B0E8-4614-8CAE-20B275E2F7FA}" name="2025" dataDxfId="6"/>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E2D2133-9B27-4101-BB07-983B401F8467}" name="Table58711" displayName="Table58711" ref="A4:F9" totalsRowShown="0" headerRowDxfId="5">
  <autoFilter ref="A4:F9" xr:uid="{CE2D2133-9B27-4101-BB07-983B401F8467}"/>
  <tableColumns count="6">
    <tableColumn id="1" xr3:uid="{624BD06E-9E29-4586-9AC8-1B387210F7C6}" name="Row Labels"/>
    <tableColumn id="2" xr3:uid="{276DE269-CFDC-46AF-A3E8-8D9D79D2D769}" name="2021" dataDxfId="4"/>
    <tableColumn id="3" xr3:uid="{D82B0077-7CA7-45FE-A0EB-C645688F6D73}" name="2022" dataDxfId="3"/>
    <tableColumn id="4" xr3:uid="{16540F66-6F40-4CE1-B06C-718840F0A2EC}" name="2023" dataDxfId="2"/>
    <tableColumn id="5" xr3:uid="{E0F30D34-ADAD-49BE-830C-A544219B26B9}" name="2024" dataDxfId="1"/>
    <tableColumn id="6" xr3:uid="{8AFC6686-3827-4A77-8D4C-8D43427F4163}" name="2025" dataDxfId="0"/>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A508C53-62B0-465F-8964-9734421373B0}" name="Table376" displayName="Table376" ref="A10:F15" totalsRowShown="0" headerRowDxfId="23">
  <autoFilter ref="A10:F15" xr:uid="{CA508C53-62B0-465F-8964-9734421373B0}"/>
  <tableColumns count="6">
    <tableColumn id="1" xr3:uid="{36FD1C4C-81E0-42C0-9CDA-7E1D24FE5C52}" name="Income Levels"/>
    <tableColumn id="2" xr3:uid="{89C5CD46-925C-4EA3-8054-06925F377D48}" name="2021" dataDxfId="22"/>
    <tableColumn id="3" xr3:uid="{D6BD8C49-5D51-4EA5-A724-75FEF882537D}" name="2022" dataDxfId="21"/>
    <tableColumn id="4" xr3:uid="{E57A742E-4A20-4987-BC28-F2B73DF9AAEE}" name="2023" dataDxfId="20"/>
    <tableColumn id="5" xr3:uid="{7CA7E6C7-A909-4748-8D37-5765C2178DD9}" name="2024" dataDxfId="19"/>
    <tableColumn id="6" xr3:uid="{2D669BCB-7E48-4798-97DE-5D6F6B71104E}" name="2025" dataDxfId="18"/>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097C58-F6FB-46FB-AABA-4406244AE23A}" name="Table587" displayName="Table587" ref="A2:F7" totalsRowShown="0" headerRowDxfId="17">
  <autoFilter ref="A2:F7" xr:uid="{92097C58-F6FB-46FB-AABA-4406244AE23A}"/>
  <tableColumns count="6">
    <tableColumn id="1" xr3:uid="{96BB35E0-B29C-474C-BA54-B2F1AAAA7B69}" name="Row Labels"/>
    <tableColumn id="2" xr3:uid="{24197A2B-341C-4A2A-9534-1073606D9D60}" name="2021" dataDxfId="16"/>
    <tableColumn id="3" xr3:uid="{9BFAAB81-8654-420A-A7DD-E7C42C2445CD}" name="2022" dataDxfId="15"/>
    <tableColumn id="4" xr3:uid="{38ECC816-E6FB-43F3-B850-443DE061078C}" name="2023" dataDxfId="14"/>
    <tableColumn id="5" xr3:uid="{FD5658BE-4EF5-4242-8ADE-C8E34A90BC98}" name="2024" dataDxfId="13"/>
    <tableColumn id="6" xr3:uid="{2230C674-A860-42BE-8DFF-1B3DA1D58BDC}" name="2025" dataDxfId="12"/>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5E188-778E-4064-AD3A-E3D1EDC54C2B}">
  <dimension ref="A1:X94"/>
  <sheetViews>
    <sheetView topLeftCell="A55" zoomScale="70" zoomScaleNormal="70" workbookViewId="0">
      <selection activeCell="F21" sqref="F21"/>
    </sheetView>
  </sheetViews>
  <sheetFormatPr defaultRowHeight="14.4" x14ac:dyDescent="0.3"/>
  <cols>
    <col min="1" max="1" width="17.5546875" bestFit="1" customWidth="1"/>
    <col min="2" max="2" width="14.33203125" bestFit="1" customWidth="1"/>
    <col min="3" max="3" width="9.109375" customWidth="1"/>
    <col min="4" max="6" width="14.33203125" bestFit="1" customWidth="1"/>
  </cols>
  <sheetData>
    <row r="1" spans="1:24" x14ac:dyDescent="0.3">
      <c r="B1" s="23" t="s">
        <v>0</v>
      </c>
      <c r="C1" s="23"/>
      <c r="D1" s="23"/>
      <c r="E1" s="23"/>
      <c r="F1" s="23"/>
      <c r="G1" s="1"/>
      <c r="H1" s="1"/>
      <c r="I1" s="1"/>
      <c r="J1" s="1"/>
      <c r="K1" s="1"/>
      <c r="L1" s="1"/>
      <c r="M1" s="1"/>
      <c r="N1" s="1"/>
      <c r="O1" s="1"/>
      <c r="P1" s="1"/>
      <c r="Q1" s="1"/>
      <c r="R1" s="1"/>
      <c r="S1" s="1"/>
      <c r="T1" s="1"/>
      <c r="U1" s="1"/>
      <c r="V1" s="1"/>
      <c r="W1" s="1"/>
      <c r="X1" s="1"/>
    </row>
    <row r="2" spans="1:24" x14ac:dyDescent="0.3">
      <c r="A2" t="s">
        <v>1</v>
      </c>
      <c r="B2" t="s">
        <v>2</v>
      </c>
      <c r="C2" t="s">
        <v>3</v>
      </c>
      <c r="D2" t="s">
        <v>4</v>
      </c>
      <c r="E2" t="s">
        <v>5</v>
      </c>
      <c r="F2" t="s">
        <v>6</v>
      </c>
      <c r="G2" s="1"/>
      <c r="H2" s="1"/>
      <c r="I2" s="1"/>
      <c r="J2" s="1"/>
      <c r="K2" s="1"/>
      <c r="L2" s="1"/>
      <c r="M2" s="1"/>
      <c r="N2" s="1"/>
      <c r="O2" s="1"/>
      <c r="P2" s="1"/>
      <c r="Q2" s="1"/>
      <c r="R2" s="1"/>
      <c r="S2" s="1"/>
      <c r="T2" s="1"/>
      <c r="U2" s="1"/>
      <c r="V2" s="1"/>
      <c r="W2" s="1"/>
      <c r="X2" s="1"/>
    </row>
    <row r="3" spans="1:24" x14ac:dyDescent="0.3">
      <c r="A3" t="s">
        <v>7</v>
      </c>
      <c r="B3" s="2">
        <v>65.053818791658969</v>
      </c>
      <c r="C3" s="2">
        <v>65.013264403190078</v>
      </c>
      <c r="D3" s="2">
        <v>65.195344299233085</v>
      </c>
      <c r="E3" s="2">
        <v>65.244843835480339</v>
      </c>
      <c r="F3" s="2">
        <v>65.298036857352088</v>
      </c>
      <c r="G3" s="1"/>
      <c r="H3" s="1"/>
      <c r="I3" s="1"/>
      <c r="J3" s="1"/>
      <c r="K3" s="1"/>
      <c r="L3" s="1"/>
      <c r="M3" s="1"/>
      <c r="N3" s="1"/>
      <c r="O3" s="1"/>
      <c r="P3" s="1"/>
      <c r="Q3" s="1"/>
      <c r="R3" s="1"/>
      <c r="S3" s="1"/>
      <c r="T3" s="1"/>
      <c r="U3" s="1"/>
      <c r="V3" s="1"/>
      <c r="W3" s="1"/>
      <c r="X3" s="1"/>
    </row>
    <row r="4" spans="1:24" x14ac:dyDescent="0.3">
      <c r="A4" t="s">
        <v>8</v>
      </c>
      <c r="B4" s="2">
        <v>20.716267609450579</v>
      </c>
      <c r="C4" s="2">
        <v>20.968212008409246</v>
      </c>
      <c r="D4" s="2">
        <v>19.33179667446116</v>
      </c>
      <c r="E4" s="2">
        <v>18.868635222624853</v>
      </c>
      <c r="F4" s="2">
        <v>19.073486398803663</v>
      </c>
      <c r="G4" s="1"/>
      <c r="H4" s="1"/>
      <c r="I4" s="1"/>
      <c r="J4" s="1"/>
      <c r="K4" s="1"/>
      <c r="L4" s="1"/>
      <c r="M4" s="1"/>
      <c r="N4" s="1"/>
      <c r="O4" s="1"/>
      <c r="P4" s="1"/>
      <c r="Q4" s="1"/>
      <c r="R4" s="1"/>
      <c r="S4" s="1"/>
      <c r="T4" s="1"/>
      <c r="U4" s="1"/>
      <c r="V4" s="1"/>
      <c r="W4" s="1"/>
      <c r="X4" s="1"/>
    </row>
    <row r="5" spans="1:24" x14ac:dyDescent="0.3">
      <c r="A5" t="s">
        <v>9</v>
      </c>
      <c r="B5" s="2">
        <v>36.50689246506186</v>
      </c>
      <c r="C5" s="2">
        <v>36.539958523528398</v>
      </c>
      <c r="D5" s="2">
        <v>35.215360307116562</v>
      </c>
      <c r="E5" s="2">
        <v>33.731698810925906</v>
      </c>
      <c r="F5" s="2">
        <v>33.97520686401009</v>
      </c>
      <c r="G5" s="1"/>
      <c r="H5" s="1"/>
      <c r="I5" s="1"/>
      <c r="J5" s="1"/>
      <c r="K5" s="1"/>
      <c r="L5" s="1"/>
      <c r="M5" s="1"/>
      <c r="N5" s="1"/>
      <c r="O5" s="1"/>
      <c r="P5" s="1"/>
      <c r="Q5" s="1"/>
      <c r="R5" s="1"/>
      <c r="S5" s="1"/>
      <c r="T5" s="1"/>
      <c r="U5" s="1"/>
      <c r="V5" s="1"/>
      <c r="W5" s="1"/>
      <c r="X5" s="1"/>
    </row>
    <row r="6" spans="1:24" x14ac:dyDescent="0.3">
      <c r="A6" t="s">
        <v>10</v>
      </c>
      <c r="B6" s="2">
        <v>59.394283013989984</v>
      </c>
      <c r="C6" s="2">
        <v>58.188354455271444</v>
      </c>
      <c r="D6" s="2">
        <v>58.619439956053448</v>
      </c>
      <c r="E6" s="2">
        <v>58.84403132617291</v>
      </c>
      <c r="F6" s="2">
        <v>59.060031394602319</v>
      </c>
      <c r="G6" s="1"/>
      <c r="H6" s="1"/>
      <c r="I6" s="1"/>
      <c r="J6" s="1"/>
      <c r="K6" s="1"/>
      <c r="L6" s="1"/>
      <c r="M6" s="1"/>
      <c r="N6" s="1"/>
      <c r="O6" s="1"/>
      <c r="P6" s="1"/>
      <c r="Q6" s="1"/>
      <c r="R6" s="1"/>
      <c r="S6" s="1"/>
      <c r="T6" s="1"/>
      <c r="U6" s="1"/>
      <c r="V6" s="1"/>
      <c r="W6" s="1"/>
      <c r="X6" s="1"/>
    </row>
    <row r="7" spans="1:24" x14ac:dyDescent="0.3">
      <c r="A7" t="s">
        <v>11</v>
      </c>
      <c r="B7" s="2">
        <v>51.838004708499923</v>
      </c>
      <c r="C7" s="2">
        <v>51.555884212305408</v>
      </c>
      <c r="D7" s="2">
        <v>51.238661858503669</v>
      </c>
      <c r="E7" s="2">
        <v>50.915977128263052</v>
      </c>
      <c r="F7" s="2">
        <v>51.071955200983261</v>
      </c>
      <c r="G7" s="1"/>
      <c r="H7" s="1"/>
      <c r="I7" s="1"/>
      <c r="J7" s="1"/>
      <c r="K7" s="1"/>
      <c r="L7" s="1"/>
      <c r="M7" s="1"/>
      <c r="N7" s="1"/>
      <c r="O7" s="1"/>
      <c r="P7" s="1"/>
      <c r="Q7" s="1"/>
      <c r="R7" s="1"/>
      <c r="S7" s="1"/>
      <c r="T7" s="1"/>
      <c r="U7" s="1"/>
      <c r="V7" s="1"/>
      <c r="W7" s="1"/>
      <c r="X7" s="1"/>
    </row>
    <row r="8" spans="1:24" x14ac:dyDescent="0.3">
      <c r="B8" s="2"/>
      <c r="C8" s="2"/>
      <c r="D8" s="2"/>
      <c r="E8" s="2"/>
      <c r="F8" s="2"/>
      <c r="G8" s="1"/>
      <c r="H8" s="1"/>
      <c r="I8" s="1"/>
      <c r="J8" s="1"/>
      <c r="K8" s="1"/>
      <c r="L8" s="1"/>
      <c r="M8" s="1"/>
      <c r="N8" s="1"/>
      <c r="O8" s="1"/>
      <c r="P8" s="1"/>
      <c r="Q8" s="1"/>
      <c r="R8" s="1"/>
      <c r="S8" s="1"/>
      <c r="T8" s="1"/>
      <c r="U8" s="1"/>
      <c r="V8" s="1"/>
      <c r="W8" s="1"/>
      <c r="X8" s="1"/>
    </row>
    <row r="9" spans="1:24" x14ac:dyDescent="0.3">
      <c r="B9" s="24" t="s">
        <v>12</v>
      </c>
      <c r="C9" s="24"/>
      <c r="D9" s="24"/>
      <c r="E9" s="24"/>
      <c r="F9" s="24"/>
      <c r="G9" s="5"/>
      <c r="H9" s="1"/>
      <c r="I9" s="1"/>
      <c r="J9" s="1"/>
      <c r="K9" s="1"/>
      <c r="L9" s="1"/>
      <c r="M9" s="1"/>
      <c r="N9" s="1"/>
      <c r="O9" s="1"/>
      <c r="P9" s="1"/>
      <c r="Q9" s="1"/>
      <c r="R9" s="1"/>
      <c r="S9" s="1"/>
      <c r="T9" s="1"/>
      <c r="U9" s="1"/>
      <c r="V9" s="1"/>
      <c r="W9" s="1"/>
      <c r="X9" s="1"/>
    </row>
    <row r="10" spans="1:24" x14ac:dyDescent="0.3">
      <c r="A10" t="s">
        <v>13</v>
      </c>
      <c r="B10" t="s">
        <v>2</v>
      </c>
      <c r="C10" t="s">
        <v>3</v>
      </c>
      <c r="D10" t="s">
        <v>4</v>
      </c>
      <c r="E10" t="s">
        <v>5</v>
      </c>
      <c r="F10" t="s">
        <v>6</v>
      </c>
      <c r="G10" s="4"/>
      <c r="H10" s="1"/>
      <c r="I10" s="1"/>
      <c r="J10" s="1"/>
      <c r="K10" s="1"/>
      <c r="L10" s="1"/>
      <c r="M10" s="1"/>
      <c r="N10" s="1"/>
      <c r="O10" s="1"/>
      <c r="P10" s="1"/>
      <c r="Q10" s="1"/>
      <c r="R10" s="1"/>
      <c r="S10" s="1"/>
      <c r="T10" s="1"/>
      <c r="U10" s="1"/>
      <c r="V10" s="1"/>
      <c r="W10" s="1"/>
      <c r="X10" s="1"/>
    </row>
    <row r="11" spans="1:24" x14ac:dyDescent="0.3">
      <c r="A11" t="s">
        <v>7</v>
      </c>
      <c r="B11" s="2">
        <v>60.557107585605443</v>
      </c>
      <c r="C11" s="2">
        <v>60.709845342237038</v>
      </c>
      <c r="D11" s="2">
        <v>60.894069642498621</v>
      </c>
      <c r="E11" s="2">
        <v>61.020735504612361</v>
      </c>
      <c r="F11" s="2">
        <v>61.109808961117317</v>
      </c>
      <c r="G11" s="4"/>
      <c r="H11" s="1"/>
      <c r="I11" s="1"/>
      <c r="J11" s="1"/>
      <c r="K11" s="1"/>
      <c r="L11" s="1"/>
      <c r="M11" s="1"/>
      <c r="N11" s="1"/>
      <c r="O11" s="1"/>
      <c r="P11" s="1"/>
      <c r="Q11" s="1"/>
      <c r="R11" s="1"/>
      <c r="S11" s="1"/>
      <c r="T11" s="1"/>
      <c r="U11" s="1"/>
      <c r="V11" s="1"/>
      <c r="W11" s="1"/>
      <c r="X11" s="1"/>
    </row>
    <row r="12" spans="1:24" x14ac:dyDescent="0.3">
      <c r="A12" t="s">
        <v>8</v>
      </c>
      <c r="B12" s="2">
        <v>31.631514035608472</v>
      </c>
      <c r="C12" s="2">
        <v>31.881468056216899</v>
      </c>
      <c r="D12" s="2">
        <v>29.692608734138844</v>
      </c>
      <c r="E12" s="2">
        <v>29.034347819702333</v>
      </c>
      <c r="F12" s="2">
        <v>29.203525988570391</v>
      </c>
      <c r="G12" s="4"/>
      <c r="H12" s="1"/>
      <c r="I12" s="1"/>
      <c r="J12" s="1"/>
      <c r="K12" s="1"/>
      <c r="L12" s="1"/>
      <c r="M12" s="1"/>
      <c r="N12" s="1"/>
      <c r="O12" s="1"/>
      <c r="P12" s="1"/>
      <c r="Q12" s="1"/>
      <c r="R12" s="1"/>
      <c r="S12" s="1"/>
      <c r="T12" s="1"/>
      <c r="U12" s="1"/>
      <c r="V12" s="1"/>
      <c r="W12" s="1"/>
      <c r="X12" s="1"/>
    </row>
    <row r="13" spans="1:24" x14ac:dyDescent="0.3">
      <c r="A13" t="s">
        <v>9</v>
      </c>
      <c r="B13" s="2">
        <v>43.92126778000268</v>
      </c>
      <c r="C13" s="2">
        <v>44.255603185921885</v>
      </c>
      <c r="D13" s="2">
        <v>42.941950232981981</v>
      </c>
      <c r="E13" s="2">
        <v>41.789101867621888</v>
      </c>
      <c r="F13" s="2">
        <v>41.993389107246067</v>
      </c>
      <c r="G13" s="4"/>
      <c r="H13" s="1"/>
      <c r="I13" s="1"/>
      <c r="J13" s="1"/>
      <c r="K13" s="1"/>
      <c r="L13" s="1"/>
      <c r="M13" s="1"/>
      <c r="N13" s="1"/>
      <c r="O13" s="1"/>
      <c r="P13" s="1"/>
      <c r="Q13" s="1"/>
      <c r="R13" s="1"/>
      <c r="S13" s="1"/>
      <c r="T13" s="1"/>
      <c r="U13" s="1"/>
      <c r="V13" s="1"/>
      <c r="W13" s="1"/>
      <c r="X13" s="1"/>
    </row>
    <row r="14" spans="1:24" x14ac:dyDescent="0.3">
      <c r="A14" t="s">
        <v>10</v>
      </c>
      <c r="B14" s="2">
        <v>58.288041409286876</v>
      </c>
      <c r="C14" s="2">
        <v>57.271383153362258</v>
      </c>
      <c r="D14" s="2">
        <v>57.749573806346746</v>
      </c>
      <c r="E14" s="2">
        <v>57.923719150139966</v>
      </c>
      <c r="F14" s="2">
        <v>58.091899808030213</v>
      </c>
      <c r="G14" s="4"/>
      <c r="H14" s="1"/>
      <c r="I14" s="1"/>
      <c r="J14" s="1"/>
      <c r="K14" s="1"/>
      <c r="L14" s="1"/>
      <c r="M14" s="1"/>
      <c r="N14" s="1"/>
      <c r="O14" s="1"/>
      <c r="P14" s="1"/>
      <c r="Q14" s="1"/>
      <c r="R14" s="1"/>
      <c r="S14" s="1"/>
      <c r="T14" s="1"/>
      <c r="U14" s="1"/>
      <c r="V14" s="1"/>
      <c r="W14" s="1"/>
      <c r="X14" s="1"/>
    </row>
    <row r="15" spans="1:24" x14ac:dyDescent="0.3">
      <c r="A15" t="s">
        <v>14</v>
      </c>
      <c r="B15" s="2">
        <v>52.754961527227479</v>
      </c>
      <c r="C15" s="2">
        <v>52.667526746118462</v>
      </c>
      <c r="D15" s="2">
        <v>52.301300952558954</v>
      </c>
      <c r="E15" s="2">
        <v>52.051059890129636</v>
      </c>
      <c r="F15" s="2">
        <v>52.196110536587355</v>
      </c>
      <c r="G15" s="1"/>
      <c r="H15" s="1"/>
      <c r="I15" s="1"/>
      <c r="J15" s="1"/>
      <c r="K15" s="1"/>
      <c r="L15" s="1"/>
      <c r="M15" s="1"/>
      <c r="N15" s="1"/>
      <c r="O15" s="1"/>
      <c r="P15" s="1"/>
      <c r="Q15" s="1"/>
      <c r="R15" s="1"/>
      <c r="S15" s="1"/>
      <c r="T15" s="1"/>
      <c r="U15" s="1"/>
      <c r="V15" s="1"/>
      <c r="W15" s="1"/>
      <c r="X15" s="1"/>
    </row>
    <row r="16" spans="1:24" x14ac:dyDescent="0.3">
      <c r="A16" s="1"/>
      <c r="B16" s="1"/>
      <c r="C16" s="1"/>
      <c r="D16" s="1"/>
      <c r="E16" s="1"/>
      <c r="F16" s="1"/>
      <c r="G16" s="1"/>
      <c r="H16" s="1"/>
      <c r="I16" s="1"/>
      <c r="J16" s="1"/>
      <c r="K16" s="1"/>
      <c r="L16" s="1"/>
      <c r="M16" s="1"/>
      <c r="N16" s="1"/>
      <c r="O16" s="1"/>
      <c r="P16" s="1"/>
      <c r="Q16" s="1"/>
      <c r="R16" s="1"/>
      <c r="S16" s="1"/>
      <c r="T16" s="1"/>
      <c r="U16" s="1"/>
      <c r="V16" s="1"/>
      <c r="W16" s="1"/>
      <c r="X16" s="1"/>
    </row>
    <row r="17" spans="1:24" x14ac:dyDescent="0.3">
      <c r="A17" s="22" t="s">
        <v>15</v>
      </c>
      <c r="B17" s="1"/>
      <c r="C17" s="1"/>
      <c r="D17" s="1"/>
      <c r="E17" s="1"/>
      <c r="F17" s="1"/>
      <c r="G17" s="1"/>
      <c r="H17" s="1"/>
      <c r="I17" s="1"/>
      <c r="J17" s="1"/>
      <c r="K17" s="1"/>
      <c r="L17" s="1"/>
      <c r="M17" s="1"/>
      <c r="N17" s="1"/>
      <c r="O17" s="1"/>
      <c r="P17" s="1"/>
      <c r="Q17" s="1"/>
      <c r="R17" s="1"/>
      <c r="S17" s="1"/>
      <c r="T17" s="1"/>
      <c r="U17" s="1"/>
      <c r="V17" s="1"/>
      <c r="W17" s="1"/>
      <c r="X17" s="1"/>
    </row>
    <row r="18" spans="1:24" x14ac:dyDescent="0.3">
      <c r="A18" s="1"/>
      <c r="B18" s="1"/>
      <c r="C18" s="1"/>
      <c r="D18" s="1"/>
      <c r="E18" s="1"/>
      <c r="F18" s="1"/>
      <c r="G18" s="1"/>
      <c r="H18" s="1"/>
      <c r="I18" s="1"/>
      <c r="J18" s="1"/>
      <c r="K18" s="1"/>
      <c r="L18" s="1"/>
      <c r="M18" s="1"/>
      <c r="N18" s="1"/>
      <c r="O18" s="1"/>
      <c r="P18" s="1"/>
      <c r="Q18" s="1"/>
      <c r="R18" s="1"/>
      <c r="S18" s="1"/>
      <c r="T18" s="1"/>
      <c r="U18" s="1"/>
      <c r="V18" s="1"/>
      <c r="W18" s="1"/>
      <c r="X18" s="1"/>
    </row>
    <row r="19" spans="1:24" x14ac:dyDescent="0.3">
      <c r="A19" s="26" t="s">
        <v>16</v>
      </c>
      <c r="B19" s="26"/>
      <c r="C19" s="26"/>
      <c r="D19" s="26"/>
      <c r="E19" s="26"/>
      <c r="F19" s="26"/>
      <c r="G19" s="1"/>
      <c r="H19" s="1"/>
      <c r="I19" s="1"/>
      <c r="J19" s="1"/>
      <c r="K19" s="1"/>
      <c r="L19" s="1"/>
      <c r="M19" s="1"/>
      <c r="N19" s="1"/>
      <c r="O19" s="1"/>
      <c r="P19" s="1"/>
      <c r="Q19" s="1"/>
      <c r="R19" s="1"/>
      <c r="S19" s="1"/>
      <c r="T19" s="1"/>
      <c r="U19" s="1"/>
      <c r="V19" s="1"/>
      <c r="W19" s="1"/>
      <c r="X19" s="1"/>
    </row>
    <row r="20" spans="1:24" x14ac:dyDescent="0.3">
      <c r="A20" s="1"/>
      <c r="B20" s="1"/>
      <c r="C20" s="1"/>
      <c r="D20" s="1"/>
      <c r="E20" s="1"/>
      <c r="F20" s="1"/>
      <c r="G20" s="1"/>
      <c r="H20" s="1"/>
      <c r="I20" s="1"/>
      <c r="J20" s="1"/>
      <c r="K20" s="1"/>
      <c r="L20" s="1"/>
      <c r="M20" s="1"/>
      <c r="N20" s="1"/>
      <c r="O20" s="1"/>
      <c r="P20" s="1"/>
      <c r="Q20" s="1"/>
      <c r="R20" s="1"/>
      <c r="S20" s="1"/>
      <c r="T20" s="1"/>
      <c r="U20" s="1"/>
      <c r="V20" s="1"/>
      <c r="W20" s="1"/>
      <c r="X20" s="1"/>
    </row>
    <row r="21" spans="1:24" x14ac:dyDescent="0.3">
      <c r="A21" s="1"/>
      <c r="B21" s="1"/>
      <c r="C21" s="1"/>
      <c r="D21" s="1"/>
      <c r="E21" s="1"/>
      <c r="F21" s="1"/>
      <c r="G21" s="1"/>
      <c r="H21" s="1"/>
      <c r="I21" s="1"/>
      <c r="J21" s="1"/>
      <c r="K21" s="1"/>
      <c r="L21" s="1"/>
      <c r="M21" s="1"/>
      <c r="N21" s="1"/>
      <c r="O21" s="1"/>
      <c r="P21" s="1"/>
      <c r="Q21" s="1"/>
      <c r="R21" s="1"/>
      <c r="S21" s="1"/>
      <c r="T21" s="1"/>
      <c r="U21" s="1"/>
      <c r="V21" s="1"/>
      <c r="W21" s="1"/>
      <c r="X21" s="1"/>
    </row>
    <row r="22" spans="1:24" x14ac:dyDescent="0.3">
      <c r="A22" s="1"/>
      <c r="B22" s="1"/>
      <c r="C22" s="1"/>
      <c r="D22" s="1"/>
      <c r="E22" s="1"/>
      <c r="F22" s="1"/>
      <c r="G22" s="1"/>
      <c r="H22" s="1"/>
      <c r="I22" s="1"/>
      <c r="J22" s="1"/>
      <c r="K22" s="1"/>
      <c r="L22" s="1"/>
      <c r="M22" s="1"/>
      <c r="N22" s="1"/>
      <c r="O22" s="1"/>
      <c r="P22" s="1"/>
      <c r="Q22" s="1"/>
      <c r="R22" s="1"/>
      <c r="S22" s="1"/>
      <c r="T22" s="1"/>
      <c r="U22" s="1"/>
      <c r="V22" s="1"/>
      <c r="W22" s="1"/>
      <c r="X22" s="1"/>
    </row>
    <row r="23" spans="1:24" x14ac:dyDescent="0.3">
      <c r="A23" s="1"/>
      <c r="B23" s="1"/>
      <c r="C23" s="1"/>
      <c r="D23" s="1"/>
      <c r="E23" s="1"/>
      <c r="F23" s="1"/>
      <c r="G23" s="1"/>
      <c r="H23" s="1"/>
      <c r="I23" s="1"/>
      <c r="J23" s="1"/>
      <c r="K23" s="1"/>
      <c r="L23" s="1"/>
      <c r="M23" s="1"/>
      <c r="N23" s="1"/>
      <c r="O23" s="1"/>
      <c r="P23" s="1"/>
      <c r="Q23" s="1"/>
      <c r="R23" s="1"/>
      <c r="S23" s="1"/>
      <c r="T23" s="1"/>
      <c r="U23" s="1"/>
      <c r="V23" s="1"/>
      <c r="W23" s="1"/>
      <c r="X23" s="1"/>
    </row>
    <row r="24" spans="1:24" ht="14.25" customHeight="1" x14ac:dyDescent="0.3">
      <c r="A24" s="1"/>
      <c r="B24" s="1"/>
      <c r="C24" s="1"/>
      <c r="D24" s="1"/>
      <c r="E24" s="1"/>
      <c r="F24" s="1"/>
      <c r="G24" s="1"/>
      <c r="H24" s="1"/>
      <c r="I24" s="1"/>
      <c r="J24" s="1"/>
      <c r="K24" s="1"/>
      <c r="L24" s="1"/>
      <c r="M24" s="1"/>
      <c r="N24" s="1"/>
      <c r="O24" s="1"/>
      <c r="P24" s="1"/>
      <c r="Q24" s="1"/>
      <c r="R24" s="1"/>
      <c r="S24" s="1"/>
      <c r="T24" s="1"/>
      <c r="U24" s="1"/>
      <c r="V24" s="1"/>
      <c r="W24" s="1"/>
      <c r="X24" s="1"/>
    </row>
    <row r="25" spans="1:24" x14ac:dyDescent="0.3">
      <c r="A25" s="1" t="s">
        <v>17</v>
      </c>
      <c r="B25" s="1"/>
      <c r="C25" s="1"/>
      <c r="D25" s="1"/>
      <c r="E25" s="1"/>
      <c r="F25" s="1"/>
      <c r="G25" s="1"/>
      <c r="H25" s="1"/>
      <c r="I25" s="1"/>
      <c r="J25" s="1"/>
      <c r="K25" s="1"/>
      <c r="L25" s="1"/>
      <c r="M25" s="1"/>
      <c r="N25" s="1"/>
      <c r="O25" s="1"/>
      <c r="P25" s="1"/>
      <c r="Q25" s="1"/>
      <c r="R25" s="1"/>
      <c r="S25" s="1"/>
      <c r="T25" s="1"/>
      <c r="U25" s="1"/>
      <c r="V25" s="1"/>
      <c r="W25" s="1"/>
      <c r="X25" s="1"/>
    </row>
    <row r="26" spans="1:24" x14ac:dyDescent="0.3">
      <c r="A26" s="1"/>
      <c r="B26" s="1"/>
      <c r="C26" s="1"/>
      <c r="D26" s="1"/>
      <c r="E26" s="1"/>
      <c r="F26" s="1"/>
      <c r="G26" s="1"/>
      <c r="H26" s="1"/>
      <c r="I26" s="1"/>
      <c r="J26" s="1"/>
      <c r="K26" s="1"/>
      <c r="L26" s="1"/>
      <c r="M26" s="1"/>
      <c r="N26" s="1"/>
      <c r="O26" s="1"/>
      <c r="P26" s="1"/>
      <c r="Q26" s="1"/>
      <c r="R26" s="1"/>
      <c r="S26" s="1"/>
      <c r="T26" s="1"/>
      <c r="U26" s="1"/>
      <c r="V26" s="1"/>
      <c r="W26" s="1"/>
      <c r="X26" s="1"/>
    </row>
    <row r="27" spans="1:24" x14ac:dyDescent="0.3">
      <c r="A27" s="1"/>
      <c r="B27" s="1"/>
      <c r="C27" s="1"/>
      <c r="D27" s="1"/>
      <c r="E27" s="1"/>
      <c r="F27" s="1"/>
      <c r="G27" s="1"/>
      <c r="H27" s="1"/>
      <c r="I27" s="1"/>
      <c r="J27" s="1"/>
      <c r="K27" s="1"/>
      <c r="L27" s="1"/>
      <c r="M27" s="1"/>
      <c r="N27" s="1"/>
      <c r="O27" s="1"/>
      <c r="P27" s="1"/>
      <c r="Q27" s="1"/>
      <c r="R27" s="1"/>
      <c r="S27" s="1"/>
      <c r="T27" s="1"/>
      <c r="U27" s="1"/>
      <c r="V27" s="1"/>
      <c r="W27" s="1"/>
      <c r="X27" s="1"/>
    </row>
    <row r="28" spans="1:24" x14ac:dyDescent="0.3">
      <c r="A28" s="1"/>
      <c r="B28" s="1"/>
      <c r="C28" s="1"/>
      <c r="D28" s="1"/>
      <c r="E28" s="1"/>
      <c r="F28" s="1"/>
      <c r="G28" s="1"/>
      <c r="H28" s="1"/>
      <c r="I28" s="1"/>
      <c r="J28" s="1"/>
      <c r="K28" s="1"/>
      <c r="L28" s="1"/>
      <c r="M28" s="1"/>
      <c r="N28" s="1"/>
      <c r="O28" s="1"/>
      <c r="P28" s="1"/>
      <c r="Q28" s="1"/>
      <c r="R28" s="1"/>
      <c r="S28" s="1"/>
      <c r="T28" s="1"/>
      <c r="U28" s="1"/>
      <c r="V28" s="1"/>
      <c r="W28" s="1"/>
      <c r="X28" s="1"/>
    </row>
    <row r="29" spans="1:24" x14ac:dyDescent="0.3">
      <c r="A29" s="1"/>
      <c r="B29" s="1"/>
      <c r="C29" s="1"/>
      <c r="D29" s="1"/>
      <c r="E29" s="1"/>
      <c r="F29" s="1"/>
      <c r="G29" s="1"/>
      <c r="H29" s="1"/>
      <c r="I29" s="1"/>
      <c r="J29" s="1"/>
      <c r="K29" s="1"/>
      <c r="L29" s="1"/>
      <c r="M29" s="1"/>
      <c r="N29" s="1"/>
      <c r="O29" s="1"/>
      <c r="P29" s="1"/>
      <c r="Q29" s="1"/>
      <c r="R29" s="1"/>
      <c r="S29" s="1"/>
      <c r="T29" s="1"/>
      <c r="U29" s="1"/>
      <c r="V29" s="1"/>
      <c r="W29" s="1"/>
      <c r="X29" s="1"/>
    </row>
    <row r="30" spans="1:24" x14ac:dyDescent="0.3">
      <c r="A30" s="1"/>
      <c r="B30" s="1"/>
      <c r="C30" s="1"/>
      <c r="D30" s="1"/>
      <c r="E30" s="1"/>
      <c r="F30" s="1"/>
      <c r="G30" s="1"/>
      <c r="H30" s="1"/>
      <c r="I30" s="1"/>
      <c r="J30" s="1"/>
      <c r="K30" s="1"/>
      <c r="L30" s="1"/>
      <c r="M30" s="1"/>
      <c r="N30" s="1"/>
      <c r="O30" s="1"/>
      <c r="P30" s="1"/>
      <c r="Q30" s="1"/>
      <c r="R30" s="1"/>
      <c r="S30" s="1"/>
      <c r="T30" s="1"/>
      <c r="U30" s="1"/>
      <c r="V30" s="1"/>
      <c r="W30" s="1"/>
      <c r="X30" s="1"/>
    </row>
    <row r="31" spans="1:24" x14ac:dyDescent="0.3">
      <c r="A31" s="1"/>
      <c r="B31" s="1"/>
      <c r="C31" s="1"/>
      <c r="D31" s="1"/>
      <c r="E31" s="1"/>
      <c r="F31" s="1"/>
      <c r="G31" s="1"/>
      <c r="H31" s="1"/>
      <c r="I31" s="1"/>
      <c r="J31" s="1"/>
      <c r="K31" s="1"/>
      <c r="L31" s="1"/>
      <c r="M31" s="1"/>
      <c r="N31" s="1"/>
      <c r="O31" s="1"/>
      <c r="P31" s="1"/>
      <c r="Q31" s="1"/>
      <c r="R31" s="1"/>
      <c r="S31" s="1"/>
      <c r="T31" s="1"/>
      <c r="U31" s="1"/>
      <c r="V31" s="1"/>
      <c r="W31" s="1"/>
      <c r="X31" s="1"/>
    </row>
    <row r="32" spans="1:24" x14ac:dyDescent="0.3">
      <c r="A32" s="1"/>
      <c r="B32" s="1"/>
      <c r="C32" s="1"/>
      <c r="D32" s="1"/>
      <c r="E32" s="1"/>
      <c r="F32" s="1"/>
      <c r="G32" s="1"/>
      <c r="H32" s="1"/>
      <c r="I32" s="1"/>
      <c r="J32" s="1"/>
      <c r="K32" s="1"/>
      <c r="L32" s="1"/>
      <c r="M32" s="1"/>
      <c r="N32" s="1"/>
      <c r="O32" s="1"/>
      <c r="P32" s="1"/>
      <c r="Q32" s="1"/>
      <c r="R32" s="21"/>
      <c r="S32" s="1"/>
      <c r="T32" s="1"/>
      <c r="U32" s="1"/>
      <c r="V32" s="1"/>
      <c r="W32" s="1"/>
      <c r="X32" s="1"/>
    </row>
    <row r="33" spans="1:24" x14ac:dyDescent="0.3">
      <c r="A33" s="1"/>
      <c r="B33" s="1"/>
      <c r="C33" s="1"/>
      <c r="D33" s="1"/>
      <c r="E33" s="1"/>
      <c r="F33" s="1"/>
      <c r="G33" s="1"/>
      <c r="H33" s="1"/>
      <c r="I33" s="1"/>
      <c r="J33" s="1"/>
      <c r="K33" s="1"/>
      <c r="L33" s="1"/>
      <c r="M33" s="1"/>
      <c r="N33" s="1"/>
      <c r="O33" s="1"/>
      <c r="P33" s="1"/>
      <c r="Q33" s="1"/>
      <c r="R33" s="21"/>
      <c r="S33" s="1"/>
      <c r="T33" s="1"/>
      <c r="U33" s="1"/>
      <c r="V33" s="1"/>
      <c r="W33" s="1"/>
      <c r="X33" s="1"/>
    </row>
    <row r="34" spans="1:24" x14ac:dyDescent="0.3">
      <c r="A34" s="1"/>
      <c r="B34" s="1"/>
      <c r="C34" s="1"/>
      <c r="D34" s="1"/>
      <c r="E34" s="1"/>
      <c r="F34" s="1"/>
      <c r="G34" s="1"/>
      <c r="H34" s="1"/>
      <c r="I34" s="1"/>
      <c r="J34" s="1"/>
      <c r="K34" s="1"/>
      <c r="L34" s="1"/>
      <c r="M34" s="1"/>
      <c r="N34" s="1"/>
      <c r="O34" s="1"/>
      <c r="P34" s="1"/>
      <c r="Q34" s="1"/>
      <c r="R34" s="1"/>
      <c r="S34" s="1"/>
      <c r="T34" s="1"/>
      <c r="U34" s="1"/>
      <c r="V34" s="1"/>
      <c r="W34" s="1"/>
      <c r="X34" s="1"/>
    </row>
    <row r="35" spans="1:24" x14ac:dyDescent="0.3">
      <c r="A35" s="1"/>
      <c r="B35" s="1"/>
      <c r="C35" s="1"/>
      <c r="D35" s="1"/>
      <c r="E35" s="1"/>
      <c r="F35" s="1"/>
      <c r="G35" s="1"/>
      <c r="H35" s="1"/>
      <c r="I35" s="1"/>
      <c r="J35" s="1"/>
      <c r="K35" s="1"/>
      <c r="L35" s="1"/>
      <c r="M35" s="1"/>
      <c r="N35" s="1"/>
      <c r="O35" s="1"/>
      <c r="P35" s="1"/>
      <c r="Q35" s="1"/>
      <c r="R35" s="1"/>
      <c r="S35" s="1"/>
      <c r="T35" s="1"/>
      <c r="U35" s="1"/>
      <c r="V35" s="1"/>
      <c r="W35" s="1"/>
      <c r="X35" s="1"/>
    </row>
    <row r="36" spans="1:24" x14ac:dyDescent="0.3">
      <c r="A36" s="1"/>
      <c r="B36" s="1"/>
      <c r="C36" s="1"/>
      <c r="D36" s="1"/>
      <c r="E36" s="1"/>
      <c r="F36" s="1"/>
      <c r="G36" s="1"/>
      <c r="H36" s="1"/>
      <c r="I36" s="1"/>
      <c r="J36" s="1"/>
      <c r="K36" s="1"/>
      <c r="L36" s="1"/>
      <c r="M36" s="1"/>
      <c r="N36" s="1"/>
      <c r="O36" s="1"/>
      <c r="P36" s="1"/>
      <c r="Q36" s="1"/>
      <c r="R36" s="1"/>
      <c r="S36" s="1"/>
      <c r="T36" s="1"/>
      <c r="U36" s="1"/>
      <c r="V36" s="1"/>
      <c r="W36" s="1"/>
      <c r="X36" s="1"/>
    </row>
    <row r="37" spans="1:24" x14ac:dyDescent="0.3">
      <c r="A37" s="1"/>
      <c r="B37" s="1"/>
      <c r="C37" s="1"/>
      <c r="D37" s="1"/>
      <c r="E37" s="1"/>
      <c r="F37" s="1"/>
      <c r="G37" s="1"/>
      <c r="H37" s="1"/>
      <c r="I37" s="1"/>
      <c r="J37" s="1"/>
      <c r="K37" s="1"/>
      <c r="L37" s="1"/>
      <c r="M37" s="1"/>
      <c r="N37" s="1"/>
      <c r="O37" s="1"/>
      <c r="P37" s="1"/>
      <c r="Q37" s="1"/>
      <c r="R37" s="1"/>
      <c r="S37" s="1"/>
      <c r="T37" s="1"/>
      <c r="U37" s="1"/>
      <c r="V37" s="1"/>
      <c r="W37" s="1"/>
      <c r="X37" s="1"/>
    </row>
    <row r="38" spans="1:24" x14ac:dyDescent="0.3">
      <c r="A38" s="1"/>
      <c r="B38" s="1"/>
      <c r="C38" s="1"/>
      <c r="D38" s="1"/>
      <c r="E38" s="1"/>
      <c r="F38" s="1"/>
      <c r="G38" s="1"/>
      <c r="H38" s="1"/>
      <c r="I38" s="1"/>
      <c r="J38" s="1"/>
      <c r="K38" s="1"/>
      <c r="L38" s="1"/>
      <c r="M38" s="1"/>
      <c r="N38" s="1"/>
      <c r="O38" s="1"/>
      <c r="P38" s="1"/>
      <c r="Q38" s="1"/>
      <c r="R38" s="1"/>
      <c r="S38" s="1"/>
      <c r="T38" s="1"/>
      <c r="U38" s="1"/>
      <c r="V38" s="1"/>
      <c r="W38" s="1"/>
      <c r="X38" s="1"/>
    </row>
    <row r="39" spans="1:24" ht="24.45" customHeight="1" x14ac:dyDescent="0.3">
      <c r="A39" s="26" t="s">
        <v>18</v>
      </c>
      <c r="B39" s="26"/>
      <c r="C39" s="26"/>
      <c r="D39" s="26"/>
      <c r="E39" s="26"/>
      <c r="F39" s="26"/>
      <c r="G39" s="1"/>
      <c r="H39" s="1"/>
      <c r="I39" s="1"/>
      <c r="J39" s="1"/>
      <c r="K39" s="1"/>
      <c r="L39" s="1"/>
      <c r="M39" s="1"/>
      <c r="N39" s="1"/>
      <c r="O39" s="1"/>
      <c r="P39" s="1"/>
      <c r="Q39" s="1"/>
      <c r="R39" s="1"/>
      <c r="S39" s="1"/>
      <c r="T39" s="1"/>
      <c r="U39" s="1"/>
      <c r="V39" s="1"/>
      <c r="W39" s="1"/>
      <c r="X39" s="1"/>
    </row>
    <row r="40" spans="1:24" x14ac:dyDescent="0.3">
      <c r="A40" s="1"/>
      <c r="B40" s="1"/>
      <c r="C40" s="1"/>
      <c r="D40" s="1"/>
      <c r="E40" s="1"/>
      <c r="F40" s="1"/>
      <c r="G40" s="1"/>
      <c r="H40" s="1"/>
      <c r="I40" s="1"/>
      <c r="J40" s="1"/>
      <c r="K40" s="1"/>
      <c r="L40" s="1"/>
      <c r="M40" s="1"/>
      <c r="N40" s="1"/>
      <c r="O40" s="1"/>
      <c r="P40" s="1"/>
      <c r="Q40" s="1"/>
      <c r="R40" s="1"/>
      <c r="S40" s="1"/>
      <c r="T40" s="1"/>
      <c r="U40" s="1"/>
      <c r="V40" s="1"/>
      <c r="W40" s="1"/>
      <c r="X40" s="1"/>
    </row>
    <row r="41" spans="1:24" x14ac:dyDescent="0.3">
      <c r="A41" s="1"/>
      <c r="B41" s="1"/>
      <c r="C41" s="1"/>
      <c r="D41" s="1"/>
      <c r="E41" s="1"/>
      <c r="F41" s="1"/>
      <c r="G41" s="1"/>
      <c r="H41" s="1"/>
      <c r="I41" s="1"/>
      <c r="J41" s="1"/>
      <c r="K41" s="1"/>
      <c r="L41" s="1"/>
      <c r="M41" s="1"/>
      <c r="N41" s="1"/>
      <c r="O41" s="1"/>
      <c r="P41" s="1"/>
      <c r="Q41" s="1"/>
      <c r="R41" s="1"/>
      <c r="S41" s="1"/>
      <c r="T41" s="1"/>
      <c r="U41" s="1"/>
      <c r="V41" s="1"/>
      <c r="W41" s="1"/>
      <c r="X41" s="1"/>
    </row>
    <row r="42" spans="1:24" x14ac:dyDescent="0.3">
      <c r="A42" s="1"/>
      <c r="B42" s="1"/>
      <c r="C42" s="1"/>
      <c r="D42" s="1"/>
      <c r="E42" s="1"/>
      <c r="F42" s="1"/>
      <c r="G42" s="1"/>
      <c r="H42" s="1"/>
      <c r="I42" s="1"/>
      <c r="J42" s="1"/>
      <c r="K42" s="1"/>
      <c r="L42" s="1"/>
      <c r="M42" s="1"/>
      <c r="N42" s="1"/>
      <c r="O42" s="1"/>
      <c r="P42" s="1"/>
      <c r="Q42" s="1"/>
      <c r="R42" s="1"/>
      <c r="S42" s="1"/>
      <c r="T42" s="1"/>
      <c r="U42" s="1"/>
      <c r="V42" s="1"/>
      <c r="W42" s="1"/>
      <c r="X42" s="1"/>
    </row>
    <row r="43" spans="1:24" x14ac:dyDescent="0.3">
      <c r="A43" s="1"/>
      <c r="B43" s="1"/>
      <c r="C43" s="1"/>
      <c r="D43" s="1"/>
      <c r="E43" s="1"/>
      <c r="F43" s="1"/>
      <c r="G43" s="1"/>
      <c r="H43" s="1"/>
      <c r="I43" s="1"/>
      <c r="J43" s="1"/>
      <c r="K43" s="1"/>
      <c r="L43" s="1"/>
      <c r="M43" s="1"/>
      <c r="N43" s="1"/>
      <c r="O43" s="1"/>
      <c r="P43" s="1"/>
      <c r="Q43" s="1"/>
      <c r="R43" s="1"/>
      <c r="S43" s="1"/>
      <c r="T43" s="1"/>
      <c r="U43" s="1"/>
      <c r="V43" s="1"/>
      <c r="W43" s="1"/>
      <c r="X43" s="1"/>
    </row>
    <row r="44" spans="1:24" x14ac:dyDescent="0.3">
      <c r="A44" s="1"/>
      <c r="B44" s="1"/>
      <c r="C44" s="1"/>
      <c r="D44" s="1"/>
      <c r="E44" s="1"/>
      <c r="F44" s="1"/>
      <c r="G44" s="1"/>
      <c r="H44" s="1"/>
      <c r="I44" s="1"/>
      <c r="J44" s="1"/>
      <c r="K44" s="1"/>
      <c r="L44" s="1"/>
      <c r="M44" s="1"/>
      <c r="N44" s="1"/>
      <c r="O44" s="1"/>
      <c r="P44" s="1"/>
      <c r="Q44" s="1"/>
      <c r="R44" s="1"/>
      <c r="S44" s="1"/>
      <c r="T44" s="1"/>
      <c r="U44" s="1"/>
      <c r="V44" s="1"/>
      <c r="W44" s="1"/>
      <c r="X44" s="1"/>
    </row>
    <row r="45" spans="1:24" x14ac:dyDescent="0.3">
      <c r="A45" s="1" t="s">
        <v>17</v>
      </c>
      <c r="B45" s="1"/>
      <c r="C45" s="1"/>
      <c r="D45" s="1"/>
      <c r="E45" s="1"/>
      <c r="F45" s="1"/>
      <c r="G45" s="1"/>
      <c r="H45" s="1"/>
      <c r="I45" s="1"/>
      <c r="J45" s="1"/>
      <c r="K45" s="1"/>
      <c r="L45" s="1"/>
      <c r="M45" s="1"/>
      <c r="N45" s="1"/>
      <c r="O45" s="1"/>
      <c r="P45" s="1"/>
      <c r="Q45" s="1"/>
      <c r="R45" s="1"/>
      <c r="S45" s="1"/>
      <c r="T45" s="1"/>
      <c r="U45" s="1"/>
      <c r="V45" s="1"/>
      <c r="W45" s="1"/>
      <c r="X45" s="1"/>
    </row>
    <row r="46" spans="1:24" x14ac:dyDescent="0.3">
      <c r="A46" s="1"/>
      <c r="B46" s="1"/>
      <c r="C46" s="1"/>
      <c r="D46" s="1"/>
      <c r="E46" s="1"/>
      <c r="F46" s="1"/>
      <c r="G46" s="1"/>
      <c r="H46" s="1"/>
      <c r="I46" s="1"/>
      <c r="J46" s="1"/>
      <c r="K46" s="1"/>
      <c r="L46" s="1"/>
      <c r="M46" s="1"/>
      <c r="N46" s="1"/>
      <c r="O46" s="1"/>
      <c r="P46" s="1"/>
      <c r="Q46" s="1"/>
      <c r="R46" s="1"/>
      <c r="S46" s="1"/>
      <c r="T46" s="1"/>
      <c r="U46" s="1"/>
      <c r="V46" s="1"/>
      <c r="W46" s="1"/>
      <c r="X46" s="1"/>
    </row>
    <row r="47" spans="1:24" x14ac:dyDescent="0.3">
      <c r="A47" s="1"/>
      <c r="B47" s="1"/>
      <c r="C47" s="1"/>
      <c r="D47" s="1"/>
      <c r="E47" s="1"/>
      <c r="F47" s="1"/>
      <c r="G47" s="1"/>
      <c r="H47" s="1"/>
      <c r="I47" s="1"/>
      <c r="J47" s="1"/>
      <c r="K47" s="1"/>
      <c r="L47" s="1"/>
      <c r="M47" s="1"/>
      <c r="N47" s="1"/>
      <c r="O47" s="1"/>
      <c r="P47" s="1"/>
      <c r="Q47" s="1"/>
      <c r="R47" s="1"/>
      <c r="S47" s="1"/>
      <c r="T47" s="1"/>
      <c r="U47" s="1"/>
      <c r="V47" s="1"/>
      <c r="W47" s="1"/>
      <c r="X47" s="1"/>
    </row>
    <row r="48" spans="1:24" x14ac:dyDescent="0.3">
      <c r="A48" s="1"/>
      <c r="B48" s="1"/>
      <c r="C48" s="1"/>
      <c r="D48" s="1"/>
      <c r="E48" s="1"/>
      <c r="F48" s="1"/>
      <c r="G48" s="1"/>
      <c r="H48" s="1"/>
      <c r="I48" s="1"/>
      <c r="J48" s="1"/>
      <c r="K48" s="1"/>
      <c r="L48" s="1"/>
      <c r="M48" s="1"/>
      <c r="N48" s="1"/>
      <c r="O48" s="1"/>
      <c r="P48" s="1"/>
      <c r="Q48" s="1"/>
      <c r="R48" s="1"/>
      <c r="S48" s="1"/>
      <c r="T48" s="1"/>
      <c r="U48" s="1"/>
      <c r="V48" s="1"/>
      <c r="W48" s="1"/>
      <c r="X48" s="1"/>
    </row>
    <row r="49" spans="1:24" x14ac:dyDescent="0.3">
      <c r="A49" s="1"/>
      <c r="B49" s="1"/>
      <c r="C49" s="1"/>
      <c r="D49" s="1"/>
      <c r="E49" s="1"/>
      <c r="F49" s="1"/>
      <c r="G49" s="1"/>
      <c r="H49" s="1"/>
      <c r="I49" s="1"/>
      <c r="J49" s="1"/>
      <c r="K49" s="1"/>
      <c r="L49" s="1"/>
      <c r="M49" s="1"/>
      <c r="N49" s="1"/>
      <c r="O49" s="1"/>
      <c r="P49" s="1"/>
      <c r="Q49" s="1"/>
      <c r="R49" s="1"/>
      <c r="S49" s="1"/>
      <c r="T49" s="1"/>
      <c r="U49" s="1"/>
      <c r="V49" s="1"/>
      <c r="W49" s="1"/>
      <c r="X49" s="1"/>
    </row>
    <row r="50" spans="1:24" x14ac:dyDescent="0.3">
      <c r="A50" s="1"/>
      <c r="B50" s="1"/>
      <c r="C50" s="1"/>
      <c r="D50" s="1"/>
      <c r="E50" s="1"/>
      <c r="F50" s="1"/>
      <c r="G50" s="1"/>
      <c r="H50" s="1"/>
      <c r="I50" s="1"/>
      <c r="J50" s="1"/>
      <c r="K50" s="1"/>
      <c r="L50" s="1"/>
      <c r="M50" s="1"/>
      <c r="N50" s="1"/>
      <c r="O50" s="1"/>
      <c r="P50" s="1"/>
      <c r="Q50" s="1"/>
      <c r="R50" s="1"/>
      <c r="S50" s="1"/>
      <c r="T50" s="1"/>
      <c r="U50" s="1"/>
      <c r="V50" s="1"/>
      <c r="W50" s="1"/>
      <c r="X50" s="1"/>
    </row>
    <row r="51" spans="1:24" x14ac:dyDescent="0.3">
      <c r="A51" s="1"/>
      <c r="B51" s="1"/>
      <c r="C51" s="1"/>
      <c r="D51" s="1"/>
      <c r="E51" s="1"/>
      <c r="F51" s="1"/>
      <c r="G51" s="1"/>
      <c r="H51" s="1"/>
      <c r="I51" s="1"/>
      <c r="J51" s="1"/>
      <c r="K51" s="1"/>
      <c r="L51" s="1"/>
      <c r="M51" s="1"/>
      <c r="N51" s="1"/>
      <c r="O51" s="1"/>
      <c r="P51" s="1"/>
      <c r="Q51" s="1"/>
      <c r="R51" s="1"/>
      <c r="S51" s="1"/>
      <c r="T51" s="1"/>
      <c r="U51" s="1"/>
      <c r="V51" s="1"/>
      <c r="W51" s="1"/>
      <c r="X51" s="1"/>
    </row>
    <row r="52" spans="1:24" x14ac:dyDescent="0.3">
      <c r="A52" s="1"/>
      <c r="B52" s="1"/>
      <c r="C52" s="1"/>
      <c r="D52" s="1"/>
      <c r="E52" s="1"/>
      <c r="F52" s="1"/>
      <c r="G52" s="1"/>
      <c r="H52" s="1"/>
      <c r="I52" s="1"/>
      <c r="J52" s="1"/>
      <c r="K52" s="1"/>
      <c r="L52" s="1"/>
      <c r="M52" s="1"/>
      <c r="N52" s="1"/>
      <c r="O52" s="1"/>
      <c r="P52" s="1"/>
      <c r="Q52" s="1"/>
      <c r="R52" s="1"/>
      <c r="S52" s="1"/>
      <c r="T52" s="1"/>
      <c r="U52" s="1"/>
      <c r="V52" s="1"/>
      <c r="W52" s="1"/>
      <c r="X52" s="1"/>
    </row>
    <row r="53" spans="1:24" x14ac:dyDescent="0.3">
      <c r="A53" s="1"/>
      <c r="B53" s="1"/>
      <c r="C53" s="1"/>
      <c r="D53" s="1"/>
      <c r="E53" s="1"/>
      <c r="F53" s="1"/>
      <c r="G53" s="1"/>
      <c r="H53" s="1"/>
      <c r="I53" s="1"/>
      <c r="J53" s="1"/>
      <c r="K53" s="1"/>
      <c r="L53" s="1"/>
      <c r="M53" s="1"/>
      <c r="N53" s="1"/>
      <c r="O53" s="1"/>
      <c r="P53" s="1"/>
      <c r="Q53" s="1"/>
      <c r="R53" s="1"/>
      <c r="S53" s="1"/>
      <c r="T53" s="1"/>
      <c r="U53" s="1"/>
      <c r="V53" s="1"/>
      <c r="W53" s="1"/>
      <c r="X53" s="1"/>
    </row>
    <row r="54" spans="1:24" x14ac:dyDescent="0.3">
      <c r="A54" s="1"/>
      <c r="B54" s="1"/>
      <c r="C54" s="1"/>
      <c r="D54" s="1"/>
      <c r="E54" s="1"/>
      <c r="F54" s="1"/>
      <c r="G54" s="1"/>
      <c r="H54" s="1"/>
      <c r="I54" s="1"/>
      <c r="J54" s="1"/>
      <c r="K54" s="1"/>
      <c r="L54" s="1"/>
      <c r="M54" s="1"/>
      <c r="N54" s="1"/>
      <c r="O54" s="1"/>
      <c r="P54" s="1"/>
      <c r="Q54" s="1"/>
      <c r="R54" s="1"/>
      <c r="S54" s="1"/>
      <c r="T54" s="1"/>
      <c r="U54" s="1"/>
      <c r="V54" s="1"/>
      <c r="W54" s="1"/>
      <c r="X54" s="1"/>
    </row>
    <row r="55" spans="1:24" x14ac:dyDescent="0.3">
      <c r="A55" s="1"/>
      <c r="B55" s="1"/>
      <c r="C55" s="1"/>
      <c r="D55" s="1"/>
      <c r="E55" s="1"/>
      <c r="F55" s="1"/>
      <c r="G55" s="1"/>
      <c r="H55" s="1"/>
      <c r="I55" s="1"/>
      <c r="J55" s="1"/>
      <c r="K55" s="1"/>
      <c r="L55" s="1"/>
      <c r="M55" s="1"/>
      <c r="N55" s="1"/>
      <c r="O55" s="1"/>
      <c r="P55" s="1"/>
      <c r="Q55" s="1"/>
      <c r="R55" s="1"/>
      <c r="S55" s="1"/>
      <c r="T55" s="1"/>
      <c r="U55" s="1"/>
      <c r="V55" s="1"/>
      <c r="W55" s="1"/>
      <c r="X55" s="1"/>
    </row>
    <row r="56" spans="1:24" x14ac:dyDescent="0.3">
      <c r="A56" s="1"/>
      <c r="B56" s="1"/>
      <c r="C56" s="1"/>
      <c r="D56" s="1"/>
      <c r="E56" s="1"/>
      <c r="F56" s="1"/>
      <c r="G56" s="1"/>
      <c r="H56" s="1"/>
      <c r="I56" s="1"/>
      <c r="J56" s="1"/>
      <c r="K56" s="1"/>
      <c r="L56" s="1"/>
      <c r="M56" s="1"/>
      <c r="N56" s="1"/>
      <c r="O56" s="1"/>
      <c r="P56" s="1"/>
      <c r="Q56" s="1"/>
      <c r="R56" s="1"/>
      <c r="S56" s="1"/>
      <c r="T56" s="1"/>
      <c r="U56" s="1"/>
      <c r="V56" s="1"/>
      <c r="W56" s="1"/>
      <c r="X56" s="1"/>
    </row>
    <row r="57" spans="1:24" x14ac:dyDescent="0.3">
      <c r="A57" s="1"/>
      <c r="B57" s="1"/>
      <c r="C57" s="1"/>
      <c r="D57" s="1"/>
      <c r="E57" s="1"/>
      <c r="F57" s="1"/>
      <c r="G57" s="1"/>
      <c r="H57" s="1"/>
      <c r="I57" s="1"/>
      <c r="J57" s="1"/>
      <c r="K57" s="1"/>
      <c r="L57" s="1"/>
      <c r="M57" s="1"/>
      <c r="N57" s="1"/>
      <c r="O57" s="1"/>
      <c r="P57" s="1"/>
      <c r="Q57" s="1"/>
      <c r="R57" s="1"/>
      <c r="S57" s="1"/>
      <c r="T57" s="1"/>
      <c r="U57" s="1"/>
      <c r="V57" s="1"/>
      <c r="W57" s="1"/>
      <c r="X57" s="1"/>
    </row>
    <row r="58" spans="1:24" x14ac:dyDescent="0.3">
      <c r="A58" s="1"/>
      <c r="B58" s="1"/>
      <c r="C58" s="1"/>
      <c r="D58" s="1"/>
      <c r="E58" s="1"/>
      <c r="F58" s="1"/>
      <c r="G58" s="1"/>
      <c r="H58" s="1"/>
      <c r="I58" s="1"/>
      <c r="J58" s="1"/>
      <c r="K58" s="1"/>
      <c r="L58" s="1"/>
      <c r="M58" s="1"/>
      <c r="N58" s="1"/>
      <c r="O58" s="1"/>
      <c r="P58" s="1"/>
      <c r="Q58" s="1"/>
      <c r="R58" s="1"/>
      <c r="S58" s="1"/>
      <c r="T58" s="1"/>
      <c r="U58" s="1"/>
      <c r="V58" s="1"/>
      <c r="W58" s="1"/>
      <c r="X58" s="1"/>
    </row>
    <row r="59" spans="1:24" x14ac:dyDescent="0.3">
      <c r="A59" s="1"/>
      <c r="B59" s="1"/>
      <c r="C59" s="1"/>
      <c r="D59" s="1"/>
      <c r="E59" s="1"/>
      <c r="F59" s="1"/>
      <c r="G59" s="1"/>
      <c r="H59" s="1"/>
      <c r="I59" s="1"/>
      <c r="J59" s="1"/>
      <c r="K59" s="1"/>
      <c r="L59" s="1"/>
      <c r="M59" s="1"/>
      <c r="N59" s="1"/>
      <c r="O59" s="1"/>
      <c r="P59" s="1"/>
      <c r="Q59" s="1"/>
      <c r="R59" s="1"/>
      <c r="S59" s="1"/>
      <c r="T59" s="1"/>
      <c r="U59" s="1"/>
      <c r="V59" s="1"/>
      <c r="W59" s="1"/>
      <c r="X59" s="1"/>
    </row>
    <row r="60" spans="1:24" x14ac:dyDescent="0.3">
      <c r="A60" s="1"/>
      <c r="B60" s="1"/>
      <c r="C60" s="1"/>
      <c r="D60" s="1"/>
      <c r="E60" s="1"/>
      <c r="F60" s="1"/>
      <c r="G60" s="1"/>
      <c r="H60" s="1"/>
      <c r="I60" s="1"/>
      <c r="J60" s="1"/>
      <c r="K60" s="1"/>
      <c r="L60" s="1"/>
      <c r="M60" s="1"/>
      <c r="N60" s="1"/>
      <c r="O60" s="1"/>
      <c r="P60" s="1"/>
      <c r="Q60" s="1"/>
      <c r="R60" s="1"/>
      <c r="S60" s="1"/>
      <c r="T60" s="1"/>
      <c r="U60" s="1"/>
      <c r="V60" s="1"/>
      <c r="W60" s="1"/>
      <c r="X60" s="1"/>
    </row>
    <row r="61" spans="1:24" x14ac:dyDescent="0.3">
      <c r="A61" s="1"/>
      <c r="B61" s="1"/>
      <c r="C61" s="1"/>
      <c r="D61" s="1"/>
      <c r="E61" s="1"/>
      <c r="F61" s="1"/>
      <c r="G61" s="1"/>
      <c r="H61" s="1"/>
      <c r="I61" s="1"/>
      <c r="J61" s="1"/>
      <c r="K61" s="1"/>
      <c r="L61" s="1"/>
      <c r="M61" s="1"/>
      <c r="N61" s="1"/>
      <c r="O61" s="1"/>
      <c r="P61" s="1"/>
      <c r="Q61" s="1"/>
      <c r="R61" s="1"/>
      <c r="S61" s="1"/>
      <c r="T61" s="1"/>
      <c r="U61" s="1"/>
      <c r="V61" s="1"/>
      <c r="W61" s="1"/>
      <c r="X61" s="1"/>
    </row>
    <row r="62" spans="1:24" x14ac:dyDescent="0.3">
      <c r="A62" s="1"/>
      <c r="B62" s="1"/>
      <c r="C62" s="1"/>
      <c r="D62" s="1"/>
      <c r="E62" s="1"/>
      <c r="F62" s="1"/>
      <c r="G62" s="1"/>
      <c r="H62" s="1"/>
      <c r="I62" s="1"/>
      <c r="J62" s="1"/>
      <c r="K62" s="1"/>
      <c r="L62" s="1"/>
      <c r="M62" s="1"/>
      <c r="N62" s="1"/>
      <c r="O62" s="1"/>
      <c r="P62" s="1"/>
      <c r="Q62" s="1"/>
      <c r="R62" s="1"/>
      <c r="S62" s="1"/>
      <c r="T62" s="1"/>
      <c r="U62" s="1"/>
      <c r="V62" s="1"/>
      <c r="W62" s="1"/>
      <c r="X62" s="1"/>
    </row>
    <row r="63" spans="1:24" ht="28.5" customHeight="1" x14ac:dyDescent="0.3">
      <c r="A63" s="26" t="s">
        <v>19</v>
      </c>
      <c r="B63" s="26"/>
      <c r="C63" s="26"/>
      <c r="D63" s="26"/>
      <c r="E63" s="26"/>
      <c r="F63" s="26"/>
      <c r="G63" s="1"/>
      <c r="H63" s="1"/>
      <c r="I63" s="1"/>
      <c r="J63" s="1"/>
      <c r="K63" s="1"/>
      <c r="L63" s="1"/>
      <c r="M63" s="1"/>
      <c r="N63" s="1"/>
      <c r="O63" s="1"/>
      <c r="P63" s="1"/>
      <c r="Q63" s="1"/>
      <c r="R63" s="1"/>
      <c r="S63" s="1"/>
      <c r="T63" s="1"/>
      <c r="U63" s="1"/>
      <c r="V63" s="1"/>
      <c r="W63" s="1"/>
      <c r="X63" s="1"/>
    </row>
    <row r="64" spans="1:24" x14ac:dyDescent="0.3">
      <c r="A64" s="1"/>
      <c r="B64" s="1"/>
      <c r="C64" s="1"/>
      <c r="D64" s="1"/>
      <c r="E64" s="1"/>
      <c r="F64" s="1"/>
      <c r="G64" s="1"/>
      <c r="H64" s="1"/>
      <c r="I64" s="1"/>
      <c r="J64" s="1"/>
      <c r="K64" s="1"/>
      <c r="L64" s="1"/>
      <c r="M64" s="1"/>
      <c r="N64" s="1"/>
      <c r="O64" s="1"/>
      <c r="P64" s="1"/>
      <c r="Q64" s="1"/>
      <c r="R64" s="1"/>
      <c r="S64" s="1"/>
      <c r="T64" s="1"/>
      <c r="U64" s="1"/>
      <c r="V64" s="1"/>
      <c r="W64" s="1"/>
      <c r="X64" s="1"/>
    </row>
    <row r="65" spans="1:24" x14ac:dyDescent="0.3">
      <c r="A65" s="1"/>
      <c r="B65" s="1"/>
      <c r="C65" s="1"/>
      <c r="D65" s="1"/>
      <c r="E65" s="1"/>
      <c r="F65" s="1"/>
      <c r="G65" s="1"/>
      <c r="H65" s="1"/>
      <c r="I65" s="1"/>
      <c r="J65" s="1"/>
      <c r="K65" s="1"/>
      <c r="L65" s="1"/>
      <c r="M65" s="1"/>
      <c r="N65" s="1"/>
      <c r="O65" s="1"/>
      <c r="P65" s="1"/>
      <c r="Q65" s="1"/>
      <c r="R65" s="1"/>
      <c r="S65" s="1"/>
      <c r="T65" s="1"/>
      <c r="U65" s="1"/>
      <c r="V65" s="1"/>
      <c r="W65" s="1"/>
      <c r="X65" s="1"/>
    </row>
    <row r="66" spans="1:24" x14ac:dyDescent="0.3">
      <c r="A66" s="1"/>
      <c r="B66" s="1"/>
      <c r="C66" s="1"/>
      <c r="D66" s="1"/>
      <c r="E66" s="1"/>
      <c r="F66" s="1"/>
      <c r="G66" s="1"/>
      <c r="H66" s="1"/>
      <c r="I66" s="1"/>
      <c r="J66" s="1"/>
      <c r="K66" s="1"/>
      <c r="L66" s="1"/>
      <c r="M66" s="1"/>
      <c r="N66" s="1"/>
      <c r="O66" s="1"/>
      <c r="P66" s="1"/>
      <c r="Q66" s="1"/>
      <c r="R66" s="1"/>
      <c r="S66" s="1"/>
      <c r="T66" s="1"/>
      <c r="U66" s="1"/>
      <c r="V66" s="1"/>
      <c r="W66" s="1"/>
      <c r="X66" s="1"/>
    </row>
    <row r="67" spans="1:24" x14ac:dyDescent="0.3">
      <c r="A67" s="1"/>
      <c r="B67" s="1"/>
      <c r="C67" s="1"/>
      <c r="D67" s="1"/>
      <c r="E67" s="1"/>
      <c r="F67" s="1"/>
      <c r="G67" s="1"/>
      <c r="H67" s="1"/>
      <c r="I67" s="1"/>
      <c r="J67" s="1"/>
      <c r="K67" s="1"/>
      <c r="L67" s="1"/>
      <c r="M67" s="1"/>
      <c r="N67" s="1"/>
      <c r="O67" s="1"/>
      <c r="P67" s="1"/>
      <c r="Q67" s="1"/>
      <c r="R67" s="1"/>
      <c r="S67" s="1"/>
      <c r="T67" s="1"/>
      <c r="U67" s="1"/>
      <c r="V67" s="1"/>
      <c r="W67" s="1"/>
      <c r="X67" s="1"/>
    </row>
    <row r="68" spans="1:24" x14ac:dyDescent="0.3">
      <c r="A68" s="1"/>
      <c r="B68" s="1"/>
      <c r="C68" s="1"/>
      <c r="D68" s="1"/>
      <c r="E68" s="1"/>
      <c r="F68" s="1"/>
      <c r="G68" s="1"/>
      <c r="H68" s="1"/>
      <c r="I68" s="1"/>
      <c r="J68" s="1"/>
      <c r="K68" s="1"/>
      <c r="L68" s="1"/>
      <c r="M68" s="1"/>
      <c r="N68" s="1"/>
      <c r="O68" s="1"/>
      <c r="P68" s="1"/>
      <c r="Q68" s="1"/>
      <c r="R68" s="1"/>
      <c r="S68" s="1"/>
      <c r="T68" s="1"/>
      <c r="U68" s="1"/>
      <c r="V68" s="1"/>
      <c r="W68" s="1"/>
      <c r="X68" s="1"/>
    </row>
    <row r="69" spans="1:24" x14ac:dyDescent="0.3">
      <c r="A69" s="1" t="s">
        <v>17</v>
      </c>
      <c r="B69" s="1"/>
      <c r="C69" s="1"/>
      <c r="D69" s="1"/>
      <c r="E69" s="1"/>
      <c r="F69" s="1"/>
      <c r="G69" s="1"/>
      <c r="H69" s="1"/>
      <c r="I69" s="1"/>
      <c r="J69" s="1"/>
      <c r="K69" s="1"/>
      <c r="L69" s="1"/>
      <c r="M69" s="1"/>
      <c r="N69" s="1"/>
      <c r="O69" s="1"/>
      <c r="P69" s="1"/>
      <c r="Q69" s="1"/>
      <c r="R69" s="1"/>
      <c r="S69" s="1"/>
      <c r="T69" s="1"/>
      <c r="U69" s="1"/>
      <c r="V69" s="1"/>
      <c r="W69" s="1"/>
      <c r="X69" s="1"/>
    </row>
    <row r="70" spans="1:24" x14ac:dyDescent="0.3">
      <c r="A70" s="1"/>
      <c r="B70" s="1"/>
      <c r="C70" s="1"/>
      <c r="D70" s="1"/>
      <c r="E70" s="1"/>
      <c r="F70" s="1"/>
      <c r="G70" s="1"/>
      <c r="H70" s="1"/>
      <c r="I70" s="1"/>
      <c r="J70" s="1"/>
      <c r="K70" s="1"/>
      <c r="L70" s="1"/>
      <c r="M70" s="1"/>
      <c r="N70" s="1"/>
      <c r="O70" s="1"/>
      <c r="P70" s="1"/>
      <c r="Q70" s="1"/>
      <c r="R70" s="1"/>
      <c r="S70" s="1"/>
      <c r="T70" s="1"/>
      <c r="U70" s="1"/>
      <c r="V70" s="1"/>
      <c r="W70" s="1"/>
      <c r="X70" s="1"/>
    </row>
    <row r="71" spans="1:24" x14ac:dyDescent="0.3">
      <c r="A71" s="1"/>
      <c r="B71" s="1"/>
      <c r="C71" s="1"/>
      <c r="D71" s="1"/>
      <c r="E71" s="1"/>
      <c r="F71" s="1"/>
      <c r="G71" s="1"/>
      <c r="H71" s="1"/>
      <c r="I71" s="1"/>
      <c r="J71" s="1"/>
      <c r="K71" s="1"/>
      <c r="L71" s="1"/>
      <c r="M71" s="1"/>
      <c r="N71" s="1"/>
      <c r="O71" s="1"/>
      <c r="P71" s="1"/>
      <c r="Q71" s="1"/>
      <c r="R71" s="1"/>
      <c r="S71" s="1"/>
      <c r="T71" s="1"/>
      <c r="U71" s="1"/>
      <c r="V71" s="1"/>
      <c r="W71" s="1"/>
      <c r="X71" s="1"/>
    </row>
    <row r="72" spans="1:24" x14ac:dyDescent="0.3">
      <c r="A72" s="1"/>
      <c r="B72" s="1"/>
      <c r="C72" s="1"/>
      <c r="D72" s="1"/>
      <c r="E72" s="1"/>
      <c r="F72" s="1"/>
      <c r="G72" s="1"/>
      <c r="H72" s="1"/>
      <c r="I72" s="1"/>
      <c r="J72" s="1"/>
      <c r="K72" s="1"/>
      <c r="L72" s="1"/>
      <c r="M72" s="1"/>
      <c r="N72" s="1"/>
      <c r="O72" s="1"/>
      <c r="P72" s="1"/>
      <c r="Q72" s="1"/>
      <c r="R72" s="1"/>
      <c r="S72" s="1"/>
      <c r="T72" s="1"/>
      <c r="U72" s="1"/>
      <c r="V72" s="1"/>
      <c r="W72" s="1"/>
      <c r="X72" s="1"/>
    </row>
    <row r="73" spans="1:24" x14ac:dyDescent="0.3">
      <c r="A73" s="1"/>
      <c r="B73" s="1"/>
      <c r="C73" s="1"/>
      <c r="D73" s="1"/>
      <c r="E73" s="1"/>
      <c r="F73" s="1"/>
      <c r="G73" s="1"/>
      <c r="H73" s="1"/>
      <c r="I73" s="1"/>
      <c r="J73" s="1"/>
      <c r="K73" s="1"/>
      <c r="L73" s="1"/>
      <c r="M73" s="1"/>
      <c r="N73" s="1"/>
      <c r="O73" s="1"/>
      <c r="P73" s="1"/>
      <c r="Q73" s="1"/>
      <c r="R73" s="1"/>
      <c r="S73" s="1"/>
      <c r="T73" s="1"/>
      <c r="U73" s="1"/>
      <c r="V73" s="1"/>
      <c r="W73" s="1"/>
      <c r="X73" s="1"/>
    </row>
    <row r="74" spans="1:24" x14ac:dyDescent="0.3">
      <c r="A74" s="1"/>
      <c r="B74" s="1"/>
      <c r="C74" s="1"/>
      <c r="D74" s="1"/>
      <c r="E74" s="1"/>
      <c r="F74" s="1"/>
      <c r="G74" s="1"/>
      <c r="H74" s="1"/>
      <c r="I74" s="1"/>
      <c r="J74" s="1"/>
      <c r="K74" s="1"/>
      <c r="L74" s="1"/>
      <c r="M74" s="1"/>
      <c r="N74" s="1"/>
      <c r="O74" s="1"/>
      <c r="P74" s="1"/>
      <c r="Q74" s="1"/>
      <c r="R74" s="1"/>
      <c r="S74" s="1"/>
      <c r="T74" s="1"/>
      <c r="U74" s="1"/>
      <c r="V74" s="1"/>
      <c r="W74" s="1"/>
      <c r="X74" s="1"/>
    </row>
    <row r="75" spans="1:24" x14ac:dyDescent="0.3">
      <c r="A75" s="1"/>
      <c r="B75" s="1"/>
      <c r="C75" s="1"/>
      <c r="D75" s="1"/>
      <c r="E75" s="1"/>
      <c r="F75" s="1"/>
      <c r="G75" s="1"/>
      <c r="H75" s="1"/>
      <c r="I75" s="1"/>
      <c r="J75" s="1"/>
      <c r="K75" s="1"/>
      <c r="L75" s="1"/>
      <c r="M75" s="1"/>
      <c r="N75" s="1"/>
      <c r="O75" s="1"/>
      <c r="P75" s="1"/>
      <c r="Q75" s="1"/>
      <c r="R75" s="1"/>
      <c r="S75" s="1"/>
      <c r="T75" s="1"/>
      <c r="U75" s="1"/>
      <c r="V75" s="1"/>
      <c r="W75" s="1"/>
      <c r="X75" s="1"/>
    </row>
    <row r="76" spans="1:24" x14ac:dyDescent="0.3">
      <c r="A76" s="1"/>
      <c r="B76" s="1"/>
      <c r="C76" s="1"/>
      <c r="D76" s="1"/>
      <c r="E76" s="1"/>
      <c r="F76" s="1"/>
      <c r="G76" s="1"/>
      <c r="H76" s="1"/>
      <c r="I76" s="1"/>
      <c r="J76" s="1"/>
      <c r="K76" s="1"/>
      <c r="L76" s="1"/>
      <c r="M76" s="1"/>
      <c r="N76" s="1"/>
      <c r="O76" s="1"/>
      <c r="P76" s="1"/>
      <c r="Q76" s="1"/>
      <c r="R76" s="1"/>
      <c r="S76" s="1"/>
      <c r="T76" s="1"/>
      <c r="U76" s="1"/>
      <c r="V76" s="1"/>
      <c r="W76" s="1"/>
      <c r="X76" s="1"/>
    </row>
    <row r="77" spans="1:24" x14ac:dyDescent="0.3">
      <c r="A77" s="1"/>
      <c r="B77" s="1"/>
      <c r="C77" s="1"/>
      <c r="D77" s="1"/>
      <c r="E77" s="1"/>
      <c r="F77" s="1"/>
      <c r="G77" s="1"/>
      <c r="H77" s="1"/>
      <c r="I77" s="1"/>
      <c r="J77" s="1"/>
      <c r="K77" s="1"/>
      <c r="L77" s="1"/>
      <c r="M77" s="1"/>
      <c r="N77" s="1"/>
      <c r="O77" s="1"/>
      <c r="P77" s="1"/>
      <c r="Q77" s="1"/>
      <c r="R77" s="1"/>
      <c r="S77" s="1"/>
      <c r="T77" s="1"/>
      <c r="U77" s="1"/>
      <c r="V77" s="1"/>
      <c r="W77" s="1"/>
      <c r="X77" s="1"/>
    </row>
    <row r="78" spans="1:24" x14ac:dyDescent="0.3">
      <c r="A78" s="1"/>
      <c r="B78" s="1"/>
      <c r="C78" s="1"/>
      <c r="D78" s="1"/>
      <c r="E78" s="1"/>
      <c r="F78" s="1"/>
      <c r="G78" s="1"/>
      <c r="H78" s="1"/>
      <c r="I78" s="1"/>
      <c r="J78" s="1"/>
      <c r="K78" s="1"/>
      <c r="L78" s="1"/>
      <c r="M78" s="1"/>
      <c r="N78" s="1"/>
      <c r="O78" s="1"/>
      <c r="P78" s="1"/>
      <c r="Q78" s="1"/>
      <c r="R78" s="1"/>
      <c r="S78" s="1"/>
      <c r="T78" s="1"/>
      <c r="U78" s="1"/>
      <c r="V78" s="1"/>
      <c r="W78" s="1"/>
      <c r="X78" s="1"/>
    </row>
    <row r="79" spans="1:24" x14ac:dyDescent="0.3">
      <c r="A79" s="1"/>
      <c r="B79" s="1"/>
      <c r="C79" s="1"/>
      <c r="D79" s="1"/>
      <c r="E79" s="1"/>
      <c r="F79" s="1"/>
      <c r="G79" s="1"/>
      <c r="H79" s="1"/>
      <c r="I79" s="1"/>
      <c r="J79" s="1"/>
      <c r="K79" s="1"/>
      <c r="L79" s="1"/>
      <c r="M79" s="1"/>
      <c r="N79" s="1"/>
      <c r="O79" s="1"/>
      <c r="P79" s="1"/>
      <c r="Q79" s="1"/>
      <c r="R79" s="1"/>
      <c r="S79" s="1"/>
      <c r="T79" s="1"/>
      <c r="U79" s="1"/>
      <c r="V79" s="1"/>
      <c r="W79" s="1"/>
      <c r="X79" s="1"/>
    </row>
    <row r="80" spans="1:24" x14ac:dyDescent="0.3">
      <c r="A80" s="1"/>
      <c r="B80" s="1"/>
      <c r="C80" s="1"/>
      <c r="D80" s="1"/>
      <c r="E80" s="1"/>
      <c r="F80" s="1"/>
      <c r="G80" s="1"/>
      <c r="H80" s="1"/>
      <c r="I80" s="1"/>
      <c r="J80" s="1"/>
      <c r="K80" s="1"/>
    </row>
    <row r="81" spans="1:11" x14ac:dyDescent="0.3">
      <c r="A81" s="1"/>
      <c r="B81" s="1"/>
      <c r="C81" s="1"/>
      <c r="D81" s="1"/>
      <c r="E81" s="1"/>
      <c r="F81" s="1"/>
      <c r="G81" s="1"/>
      <c r="H81" s="1"/>
      <c r="I81" s="1"/>
      <c r="J81" s="1"/>
      <c r="K81" s="1"/>
    </row>
    <row r="82" spans="1:11" x14ac:dyDescent="0.3">
      <c r="A82" s="1"/>
      <c r="B82" s="1"/>
      <c r="C82" s="1"/>
      <c r="D82" s="1"/>
      <c r="E82" s="1"/>
      <c r="F82" s="1"/>
      <c r="G82" s="1"/>
      <c r="H82" s="1"/>
      <c r="I82" s="1"/>
      <c r="J82" s="1"/>
      <c r="K82" s="1"/>
    </row>
    <row r="83" spans="1:11" x14ac:dyDescent="0.3">
      <c r="A83" s="1"/>
      <c r="B83" s="1"/>
      <c r="C83" s="1"/>
      <c r="D83" s="1"/>
      <c r="E83" s="1"/>
      <c r="F83" s="1"/>
      <c r="G83" s="1"/>
      <c r="H83" s="1"/>
      <c r="I83" s="1"/>
      <c r="J83" s="1"/>
      <c r="K83" s="1"/>
    </row>
    <row r="84" spans="1:11" x14ac:dyDescent="0.3">
      <c r="A84" s="1"/>
      <c r="B84" s="1"/>
      <c r="C84" s="1"/>
      <c r="D84" s="1"/>
      <c r="E84" s="1"/>
      <c r="F84" s="1"/>
      <c r="G84" s="1"/>
      <c r="H84" s="1"/>
      <c r="I84" s="1"/>
      <c r="J84" s="1"/>
      <c r="K84" s="1"/>
    </row>
    <row r="85" spans="1:11" x14ac:dyDescent="0.3">
      <c r="A85" s="1"/>
      <c r="B85" s="1"/>
      <c r="C85" s="1"/>
      <c r="D85" s="1"/>
      <c r="E85" s="1"/>
      <c r="F85" s="1"/>
      <c r="G85" s="1"/>
      <c r="H85" s="1"/>
      <c r="I85" s="1"/>
      <c r="J85" s="1"/>
      <c r="K85" s="1"/>
    </row>
    <row r="86" spans="1:11" x14ac:dyDescent="0.3">
      <c r="A86" s="1"/>
      <c r="B86" s="1"/>
      <c r="C86" s="1"/>
      <c r="D86" s="1"/>
      <c r="E86" s="1"/>
      <c r="F86" s="1"/>
      <c r="G86" s="1"/>
      <c r="H86" s="1"/>
      <c r="I86" s="1"/>
      <c r="J86" s="1"/>
      <c r="K86" s="1"/>
    </row>
    <row r="87" spans="1:11" x14ac:dyDescent="0.3">
      <c r="A87" s="1"/>
      <c r="B87" s="1"/>
      <c r="C87" s="1"/>
      <c r="D87" s="1"/>
      <c r="E87" s="1"/>
      <c r="F87" s="1"/>
      <c r="G87" s="1"/>
      <c r="H87" s="1"/>
      <c r="I87" s="1"/>
      <c r="J87" s="1"/>
      <c r="K87" s="1"/>
    </row>
    <row r="88" spans="1:11" x14ac:dyDescent="0.3">
      <c r="A88" s="1"/>
      <c r="B88" s="1"/>
      <c r="C88" s="1"/>
      <c r="D88" s="1"/>
      <c r="E88" s="1"/>
      <c r="F88" s="1"/>
      <c r="G88" s="1"/>
      <c r="H88" s="1"/>
      <c r="I88" s="1"/>
      <c r="J88" s="1"/>
      <c r="K88" s="1"/>
    </row>
    <row r="89" spans="1:11" x14ac:dyDescent="0.3">
      <c r="A89" s="1"/>
      <c r="B89" s="1"/>
      <c r="C89" s="1"/>
      <c r="D89" s="1"/>
      <c r="E89" s="1"/>
      <c r="F89" s="1"/>
      <c r="G89" s="1"/>
      <c r="H89" s="1"/>
      <c r="I89" s="1"/>
      <c r="J89" s="1"/>
      <c r="K89" s="1"/>
    </row>
    <row r="90" spans="1:11" x14ac:dyDescent="0.3">
      <c r="A90" s="1"/>
      <c r="B90" s="1"/>
      <c r="C90" s="1"/>
      <c r="D90" s="1"/>
      <c r="E90" s="1"/>
      <c r="F90" s="1"/>
      <c r="G90" s="1"/>
      <c r="H90" s="1"/>
      <c r="I90" s="1"/>
      <c r="J90" s="1"/>
      <c r="K90" s="1"/>
    </row>
    <row r="91" spans="1:11" x14ac:dyDescent="0.3">
      <c r="A91" s="1"/>
      <c r="B91" s="1"/>
      <c r="C91" s="1"/>
      <c r="D91" s="1"/>
      <c r="E91" s="1"/>
      <c r="F91" s="1"/>
      <c r="G91" s="1"/>
      <c r="H91" s="1"/>
      <c r="I91" s="1"/>
      <c r="J91" s="1"/>
      <c r="K91" s="1"/>
    </row>
    <row r="92" spans="1:11" x14ac:dyDescent="0.3">
      <c r="A92" s="1"/>
      <c r="B92" s="1"/>
      <c r="C92" s="1"/>
      <c r="D92" s="1"/>
      <c r="E92" s="1"/>
      <c r="F92" s="1"/>
      <c r="G92" s="1"/>
      <c r="H92" s="1"/>
      <c r="I92" s="1"/>
      <c r="J92" s="1"/>
      <c r="K92" s="1"/>
    </row>
    <row r="93" spans="1:11" x14ac:dyDescent="0.3">
      <c r="A93" s="1"/>
      <c r="B93" s="1"/>
      <c r="C93" s="1"/>
      <c r="D93" s="1"/>
      <c r="E93" s="1"/>
      <c r="F93" s="1"/>
      <c r="G93" s="1"/>
      <c r="H93" s="1"/>
      <c r="I93" s="1"/>
      <c r="J93" s="1"/>
      <c r="K93" s="1"/>
    </row>
    <row r="94" spans="1:11" x14ac:dyDescent="0.3">
      <c r="A94" s="1"/>
      <c r="B94" s="1"/>
      <c r="C94" s="1"/>
      <c r="D94" s="1"/>
      <c r="E94" s="1"/>
      <c r="F94" s="1"/>
      <c r="G94" s="1"/>
      <c r="H94" s="1"/>
      <c r="I94" s="1"/>
      <c r="J94" s="1"/>
      <c r="K94" s="1"/>
    </row>
  </sheetData>
  <mergeCells count="5">
    <mergeCell ref="A19:F19"/>
    <mergeCell ref="B9:F9"/>
    <mergeCell ref="B1:F1"/>
    <mergeCell ref="A39:F39"/>
    <mergeCell ref="A63:F63"/>
  </mergeCells>
  <pageMargins left="0.7" right="0.7" top="0.75" bottom="0.75" header="0.3" footer="0.3"/>
  <headerFooter>
    <oddFooter>&amp;R_x000D_&amp;1#&amp;"Aptos"&amp;10&amp;K000000 Official Use Only</oddFooter>
  </headerFooter>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9853B-731E-488C-B6F3-5CD28FC541C9}">
  <dimension ref="A1:BD108"/>
  <sheetViews>
    <sheetView zoomScale="70" zoomScaleNormal="70" workbookViewId="0">
      <selection sqref="A1:F15"/>
    </sheetView>
  </sheetViews>
  <sheetFormatPr defaultRowHeight="14.4" x14ac:dyDescent="0.3"/>
  <cols>
    <col min="1" max="1" width="17.5546875" bestFit="1" customWidth="1"/>
    <col min="2" max="2" width="14.33203125" bestFit="1" customWidth="1"/>
    <col min="3" max="3" width="9.109375" customWidth="1"/>
    <col min="4" max="6" width="14.33203125" bestFit="1" customWidth="1"/>
    <col min="8" max="8" width="20.109375" bestFit="1" customWidth="1"/>
    <col min="9" max="9" width="13" bestFit="1" customWidth="1"/>
  </cols>
  <sheetData>
    <row r="1" spans="1:36" x14ac:dyDescent="0.3">
      <c r="B1" s="23" t="s">
        <v>0</v>
      </c>
      <c r="C1" s="23"/>
      <c r="D1" s="23"/>
      <c r="E1" s="23"/>
      <c r="F1" s="23"/>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
      <c r="A2" t="s">
        <v>1</v>
      </c>
      <c r="B2" t="s">
        <v>2</v>
      </c>
      <c r="C2" t="s">
        <v>3</v>
      </c>
      <c r="D2" t="s">
        <v>4</v>
      </c>
      <c r="E2" t="s">
        <v>5</v>
      </c>
      <c r="F2" t="s">
        <v>6</v>
      </c>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x14ac:dyDescent="0.3">
      <c r="A3" t="s">
        <v>7</v>
      </c>
      <c r="B3" s="2">
        <v>65.053818791658969</v>
      </c>
      <c r="C3" s="2">
        <v>65.013264403190078</v>
      </c>
      <c r="D3" s="2">
        <v>65.195344299233085</v>
      </c>
      <c r="E3" s="2">
        <v>65.244843835480339</v>
      </c>
      <c r="F3" s="2">
        <v>65.298036857352088</v>
      </c>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x14ac:dyDescent="0.3">
      <c r="A4" t="s">
        <v>8</v>
      </c>
      <c r="B4" s="2">
        <v>20.716267609450579</v>
      </c>
      <c r="C4" s="2">
        <v>20.968212008409246</v>
      </c>
      <c r="D4" s="2">
        <v>19.33179667446116</v>
      </c>
      <c r="E4" s="2">
        <v>18.868635222624853</v>
      </c>
      <c r="F4" s="2">
        <v>19.073486398803663</v>
      </c>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x14ac:dyDescent="0.3">
      <c r="A5" t="s">
        <v>9</v>
      </c>
      <c r="B5" s="2">
        <v>36.50689246506186</v>
      </c>
      <c r="C5" s="2">
        <v>36.539958523528398</v>
      </c>
      <c r="D5" s="2">
        <v>35.215360307116562</v>
      </c>
      <c r="E5" s="2">
        <v>33.731698810925906</v>
      </c>
      <c r="F5" s="2">
        <v>33.97520686401009</v>
      </c>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x14ac:dyDescent="0.3">
      <c r="A6" t="s">
        <v>10</v>
      </c>
      <c r="B6" s="2">
        <v>59.394283013989984</v>
      </c>
      <c r="C6" s="2">
        <v>58.188354455271444</v>
      </c>
      <c r="D6" s="2">
        <v>58.619439956053448</v>
      </c>
      <c r="E6" s="2">
        <v>58.84403132617291</v>
      </c>
      <c r="F6" s="2">
        <v>59.060031394602319</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row>
    <row r="7" spans="1:36" x14ac:dyDescent="0.3">
      <c r="A7" t="s">
        <v>11</v>
      </c>
      <c r="B7" s="2">
        <v>51.838004708499923</v>
      </c>
      <c r="C7" s="2">
        <v>51.555884212305408</v>
      </c>
      <c r="D7" s="2">
        <v>51.238661858503669</v>
      </c>
      <c r="E7" s="2">
        <v>50.915977128263052</v>
      </c>
      <c r="F7" s="2">
        <v>51.071955200983261</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row>
    <row r="8" spans="1:36" x14ac:dyDescent="0.3">
      <c r="B8" s="2"/>
      <c r="C8" s="2"/>
      <c r="D8" s="2"/>
      <c r="E8" s="2"/>
      <c r="F8" s="2"/>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row>
    <row r="9" spans="1:36" x14ac:dyDescent="0.3">
      <c r="B9" s="24" t="s">
        <v>12</v>
      </c>
      <c r="C9" s="24"/>
      <c r="D9" s="24"/>
      <c r="E9" s="24"/>
      <c r="F9" s="24"/>
      <c r="G9" s="5"/>
      <c r="H9" s="5"/>
      <c r="I9" s="5"/>
      <c r="J9" s="1"/>
      <c r="K9" s="1"/>
      <c r="L9" s="1"/>
      <c r="M9" s="1"/>
      <c r="N9" s="1"/>
      <c r="O9" s="1"/>
      <c r="P9" s="1"/>
      <c r="Q9" s="1"/>
      <c r="R9" s="1"/>
      <c r="S9" s="1"/>
      <c r="T9" s="1"/>
      <c r="U9" s="1"/>
      <c r="V9" s="1"/>
      <c r="W9" s="1"/>
      <c r="X9" s="1"/>
      <c r="Y9" s="1"/>
      <c r="Z9" s="1"/>
      <c r="AA9" s="1"/>
      <c r="AB9" s="1"/>
      <c r="AC9" s="1"/>
      <c r="AD9" s="1"/>
      <c r="AE9" s="1"/>
      <c r="AF9" s="1"/>
      <c r="AG9" s="1"/>
      <c r="AH9" s="1"/>
      <c r="AI9" s="1"/>
      <c r="AJ9" s="1"/>
    </row>
    <row r="10" spans="1:36" x14ac:dyDescent="0.3">
      <c r="A10" t="s">
        <v>13</v>
      </c>
      <c r="B10" t="s">
        <v>2</v>
      </c>
      <c r="C10" t="s">
        <v>3</v>
      </c>
      <c r="D10" t="s">
        <v>4</v>
      </c>
      <c r="E10" t="s">
        <v>5</v>
      </c>
      <c r="F10" t="s">
        <v>6</v>
      </c>
      <c r="G10" s="4"/>
      <c r="H10" s="4"/>
      <c r="I10" s="4"/>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spans="1:36" x14ac:dyDescent="0.3">
      <c r="A11" t="s">
        <v>7</v>
      </c>
      <c r="B11" s="2">
        <v>60.557107585605443</v>
      </c>
      <c r="C11" s="2">
        <v>60.709845342237038</v>
      </c>
      <c r="D11" s="2">
        <v>60.894069642498621</v>
      </c>
      <c r="E11" s="2">
        <v>61.020735504612361</v>
      </c>
      <c r="F11" s="2">
        <v>61.109808961117317</v>
      </c>
      <c r="G11" s="4"/>
      <c r="H11" s="4"/>
      <c r="I11" s="4"/>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spans="1:36" x14ac:dyDescent="0.3">
      <c r="A12" t="s">
        <v>8</v>
      </c>
      <c r="B12" s="2">
        <v>31.631514035608472</v>
      </c>
      <c r="C12" s="2">
        <v>31.881468056216899</v>
      </c>
      <c r="D12" s="2">
        <v>29.692608734138844</v>
      </c>
      <c r="E12" s="2">
        <v>29.034347819702333</v>
      </c>
      <c r="F12" s="2">
        <v>29.203525988570391</v>
      </c>
      <c r="G12" s="4"/>
      <c r="H12" s="4"/>
      <c r="I12" s="4"/>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row>
    <row r="13" spans="1:36" x14ac:dyDescent="0.3">
      <c r="A13" t="s">
        <v>9</v>
      </c>
      <c r="B13" s="2">
        <v>43.92126778000268</v>
      </c>
      <c r="C13" s="2">
        <v>44.255603185921885</v>
      </c>
      <c r="D13" s="2">
        <v>42.941950232981981</v>
      </c>
      <c r="E13" s="2">
        <v>41.789101867621888</v>
      </c>
      <c r="F13" s="2">
        <v>41.993389107246067</v>
      </c>
      <c r="G13" s="4"/>
      <c r="H13" s="4"/>
      <c r="I13" s="4"/>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row>
    <row r="14" spans="1:36" x14ac:dyDescent="0.3">
      <c r="A14" t="s">
        <v>10</v>
      </c>
      <c r="B14" s="2">
        <v>58.288041409286876</v>
      </c>
      <c r="C14" s="2">
        <v>57.271383153362258</v>
      </c>
      <c r="D14" s="2">
        <v>57.749573806346746</v>
      </c>
      <c r="E14" s="2">
        <v>57.923719150139966</v>
      </c>
      <c r="F14" s="2">
        <v>58.091899808030213</v>
      </c>
      <c r="G14" s="4"/>
      <c r="H14" s="4"/>
      <c r="I14" s="4"/>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row>
    <row r="15" spans="1:36" x14ac:dyDescent="0.3">
      <c r="A15" t="s">
        <v>14</v>
      </c>
      <c r="B15" s="2">
        <v>52.754961527227479</v>
      </c>
      <c r="C15" s="2">
        <v>52.667526746118462</v>
      </c>
      <c r="D15" s="2">
        <v>52.301300952558954</v>
      </c>
      <c r="E15" s="2">
        <v>52.051059890129636</v>
      </c>
      <c r="F15" s="2">
        <v>52.196110536587355</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row>
    <row r="16" spans="1:36" x14ac:dyDescent="0.3">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spans="1:36" x14ac:dyDescent="0.3">
      <c r="A17" s="3" t="s">
        <v>15</v>
      </c>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row>
    <row r="18" spans="1:36" s="1" customFormat="1" x14ac:dyDescent="0.3"/>
    <row r="19" spans="1:36" s="1" customFormat="1" x14ac:dyDescent="0.3">
      <c r="A19" s="25" t="s">
        <v>16</v>
      </c>
      <c r="B19" s="25"/>
      <c r="C19" s="25"/>
      <c r="D19" s="25"/>
      <c r="E19" s="25"/>
      <c r="F19" s="25"/>
    </row>
    <row r="20" spans="1:36" s="1" customFormat="1" x14ac:dyDescent="0.3"/>
    <row r="21" spans="1:36" s="1" customFormat="1" x14ac:dyDescent="0.3">
      <c r="H21" s="6" t="s">
        <v>1</v>
      </c>
      <c r="I21" s="6">
        <v>2021</v>
      </c>
      <c r="J21" s="6">
        <v>2022</v>
      </c>
      <c r="K21" s="6">
        <v>2023</v>
      </c>
      <c r="L21" s="6">
        <v>2024</v>
      </c>
      <c r="M21" s="6">
        <v>2025</v>
      </c>
    </row>
    <row r="22" spans="1:36" s="1" customFormat="1" x14ac:dyDescent="0.3">
      <c r="H22" s="7" t="s">
        <v>11</v>
      </c>
      <c r="I22" s="8">
        <v>51.838004708499923</v>
      </c>
      <c r="J22" s="8">
        <v>51.555884212305408</v>
      </c>
      <c r="K22" s="8">
        <v>51.238661858503669</v>
      </c>
      <c r="L22" s="8">
        <v>50.915977128263052</v>
      </c>
      <c r="M22" s="8">
        <v>51.071955200983261</v>
      </c>
    </row>
    <row r="23" spans="1:36" s="1" customFormat="1" x14ac:dyDescent="0.3">
      <c r="H23" s="9" t="s">
        <v>14</v>
      </c>
      <c r="I23" s="8">
        <v>52.754961527227479</v>
      </c>
      <c r="J23" s="8">
        <v>52.667526746118462</v>
      </c>
      <c r="K23" s="8">
        <v>52.301300952558954</v>
      </c>
      <c r="L23" s="8">
        <v>52.051059890129636</v>
      </c>
      <c r="M23" s="8">
        <v>52.196110536587355</v>
      </c>
    </row>
    <row r="24" spans="1:36" s="1" customFormat="1" ht="14.25" customHeight="1" x14ac:dyDescent="0.3"/>
    <row r="25" spans="1:36" s="1" customFormat="1" x14ac:dyDescent="0.3">
      <c r="A25" s="1" t="s">
        <v>17</v>
      </c>
      <c r="H25" s="1" t="s">
        <v>17</v>
      </c>
    </row>
    <row r="26" spans="1:36" s="1" customFormat="1" x14ac:dyDescent="0.3"/>
    <row r="27" spans="1:36" s="1" customFormat="1" x14ac:dyDescent="0.3"/>
    <row r="28" spans="1:36" s="1" customFormat="1" x14ac:dyDescent="0.3"/>
    <row r="29" spans="1:36" s="1" customFormat="1" x14ac:dyDescent="0.3"/>
    <row r="30" spans="1:36" s="1" customFormat="1" x14ac:dyDescent="0.3"/>
    <row r="31" spans="1:36" s="1" customFormat="1" x14ac:dyDescent="0.3"/>
    <row r="32" spans="1:36" s="1" customFormat="1" x14ac:dyDescent="0.3"/>
    <row r="33" spans="1:11" s="1" customFormat="1" x14ac:dyDescent="0.3"/>
    <row r="34" spans="1:11" s="1" customFormat="1" x14ac:dyDescent="0.3"/>
    <row r="35" spans="1:11" s="1" customFormat="1" x14ac:dyDescent="0.3"/>
    <row r="36" spans="1:11" s="1" customFormat="1" x14ac:dyDescent="0.3"/>
    <row r="37" spans="1:11" s="1" customFormat="1" x14ac:dyDescent="0.3"/>
    <row r="38" spans="1:11" s="1" customFormat="1" x14ac:dyDescent="0.3"/>
    <row r="39" spans="1:11" s="1" customFormat="1" ht="24.45" customHeight="1" x14ac:dyDescent="0.3">
      <c r="A39" s="25" t="s">
        <v>20</v>
      </c>
      <c r="B39" s="25"/>
      <c r="C39" s="25"/>
      <c r="D39" s="25"/>
      <c r="E39" s="25"/>
      <c r="F39" s="25"/>
      <c r="H39" s="10"/>
      <c r="I39" s="11" t="s">
        <v>0</v>
      </c>
      <c r="J39" s="12" t="s">
        <v>12</v>
      </c>
      <c r="K39" s="13" t="s">
        <v>21</v>
      </c>
    </row>
    <row r="40" spans="1:11" s="1" customFormat="1" x14ac:dyDescent="0.3">
      <c r="H40" s="14" t="s">
        <v>7</v>
      </c>
      <c r="I40" s="15">
        <v>65.298036857352088</v>
      </c>
      <c r="J40" s="16">
        <v>61.109808961117317</v>
      </c>
      <c r="K40" s="17">
        <f>I40-J40</f>
        <v>4.1882278962347712</v>
      </c>
    </row>
    <row r="41" spans="1:11" s="1" customFormat="1" x14ac:dyDescent="0.3">
      <c r="H41" s="18" t="s">
        <v>8</v>
      </c>
      <c r="I41" s="17">
        <v>19.073486398803663</v>
      </c>
      <c r="J41" s="17">
        <v>29.203525988570391</v>
      </c>
      <c r="K41" s="17">
        <f t="shared" ref="K41:K43" si="0">I41-J41</f>
        <v>-10.130039589766728</v>
      </c>
    </row>
    <row r="42" spans="1:11" s="1" customFormat="1" x14ac:dyDescent="0.3">
      <c r="H42" s="14" t="s">
        <v>9</v>
      </c>
      <c r="I42" s="15">
        <v>33.97520686401009</v>
      </c>
      <c r="J42" s="16">
        <v>41.993389107246067</v>
      </c>
      <c r="K42" s="17">
        <f t="shared" si="0"/>
        <v>-8.0181822432359766</v>
      </c>
    </row>
    <row r="43" spans="1:11" s="1" customFormat="1" x14ac:dyDescent="0.3">
      <c r="H43" s="18" t="s">
        <v>10</v>
      </c>
      <c r="I43" s="17">
        <v>59.060031394602319</v>
      </c>
      <c r="J43" s="17">
        <v>58.091899808030213</v>
      </c>
      <c r="K43" s="17">
        <f t="shared" si="0"/>
        <v>0.96813158657210607</v>
      </c>
    </row>
    <row r="44" spans="1:11" s="1" customFormat="1" x14ac:dyDescent="0.3">
      <c r="J44" s="4"/>
    </row>
    <row r="45" spans="1:11" s="1" customFormat="1" x14ac:dyDescent="0.3">
      <c r="A45" s="1" t="s">
        <v>17</v>
      </c>
    </row>
    <row r="46" spans="1:11" s="1" customFormat="1" x14ac:dyDescent="0.3"/>
    <row r="47" spans="1:11" s="1" customFormat="1" x14ac:dyDescent="0.3"/>
    <row r="48" spans="1:11" s="1" customFormat="1" x14ac:dyDescent="0.3"/>
    <row r="49" spans="1:10" s="1" customFormat="1" x14ac:dyDescent="0.3"/>
    <row r="50" spans="1:10" s="1" customFormat="1" x14ac:dyDescent="0.3"/>
    <row r="51" spans="1:10" s="1" customFormat="1" x14ac:dyDescent="0.3"/>
    <row r="52" spans="1:10" s="1" customFormat="1" x14ac:dyDescent="0.3"/>
    <row r="53" spans="1:10" s="1" customFormat="1" x14ac:dyDescent="0.3"/>
    <row r="54" spans="1:10" s="1" customFormat="1" x14ac:dyDescent="0.3"/>
    <row r="55" spans="1:10" s="1" customFormat="1" x14ac:dyDescent="0.3"/>
    <row r="56" spans="1:10" s="1" customFormat="1" x14ac:dyDescent="0.3"/>
    <row r="57" spans="1:10" s="1" customFormat="1" x14ac:dyDescent="0.3"/>
    <row r="58" spans="1:10" s="1" customFormat="1" x14ac:dyDescent="0.3"/>
    <row r="59" spans="1:10" s="1" customFormat="1" x14ac:dyDescent="0.3"/>
    <row r="60" spans="1:10" s="1" customFormat="1" x14ac:dyDescent="0.3"/>
    <row r="61" spans="1:10" s="1" customFormat="1" x14ac:dyDescent="0.3"/>
    <row r="62" spans="1:10" s="1" customFormat="1" x14ac:dyDescent="0.3"/>
    <row r="63" spans="1:10" s="1" customFormat="1" ht="28.5" customHeight="1" x14ac:dyDescent="0.3">
      <c r="A63" s="26" t="s">
        <v>19</v>
      </c>
      <c r="B63" s="26"/>
      <c r="C63" s="26"/>
      <c r="D63" s="26"/>
      <c r="E63" s="26"/>
      <c r="F63" s="26"/>
      <c r="H63" s="19" t="s">
        <v>22</v>
      </c>
      <c r="I63" s="20" t="s">
        <v>0</v>
      </c>
      <c r="J63" s="12" t="s">
        <v>12</v>
      </c>
    </row>
    <row r="64" spans="1:10" s="1" customFormat="1" x14ac:dyDescent="0.3">
      <c r="H64" s="19" t="s">
        <v>7</v>
      </c>
      <c r="I64" s="8">
        <f>F3-B3</f>
        <v>0.24421806569311855</v>
      </c>
      <c r="J64" s="8">
        <f>F11-B11</f>
        <v>0.55270137551187304</v>
      </c>
    </row>
    <row r="65" spans="1:56" s="1" customFormat="1" x14ac:dyDescent="0.3">
      <c r="H65" s="19" t="s">
        <v>8</v>
      </c>
      <c r="I65" s="8">
        <f>F4-B4</f>
        <v>-1.6427812106469162</v>
      </c>
      <c r="J65" s="8">
        <f>F12-B12</f>
        <v>-2.427988047038081</v>
      </c>
    </row>
    <row r="66" spans="1:56" s="1" customFormat="1" x14ac:dyDescent="0.3">
      <c r="H66" s="19" t="s">
        <v>9</v>
      </c>
      <c r="I66" s="8">
        <f>F5-B5</f>
        <v>-2.5316856010517697</v>
      </c>
      <c r="J66" s="8">
        <f>F13-B13</f>
        <v>-1.9278786727566128</v>
      </c>
    </row>
    <row r="67" spans="1:56" s="1" customFormat="1" x14ac:dyDescent="0.3">
      <c r="H67" s="19" t="s">
        <v>10</v>
      </c>
      <c r="I67" s="8">
        <f>F6-B6</f>
        <v>-0.33425161938766479</v>
      </c>
      <c r="J67" s="8">
        <f>F14-B14</f>
        <v>-0.19614160125666302</v>
      </c>
    </row>
    <row r="68" spans="1:56" s="1" customFormat="1" x14ac:dyDescent="0.3">
      <c r="H68" s="19" t="s">
        <v>23</v>
      </c>
      <c r="I68" s="8">
        <f>F7-B7</f>
        <v>-0.76604950751666223</v>
      </c>
      <c r="J68" s="8">
        <f>F15-B15</f>
        <v>-0.55885099064012422</v>
      </c>
    </row>
    <row r="69" spans="1:56" s="1" customFormat="1" x14ac:dyDescent="0.3">
      <c r="A69" s="1" t="s">
        <v>17</v>
      </c>
    </row>
    <row r="70" spans="1:56" s="1" customFormat="1" x14ac:dyDescent="0.3"/>
    <row r="71" spans="1:56" s="1" customFormat="1" x14ac:dyDescent="0.3"/>
    <row r="72" spans="1:56" s="1" customFormat="1" x14ac:dyDescent="0.3"/>
    <row r="73" spans="1:56" s="1" customFormat="1" x14ac:dyDescent="0.3"/>
    <row r="74" spans="1:56" s="1" customFormat="1" x14ac:dyDescent="0.3"/>
    <row r="75" spans="1:56" s="1" customFormat="1" x14ac:dyDescent="0.3"/>
    <row r="76" spans="1:56" s="1" customFormat="1" x14ac:dyDescent="0.3"/>
    <row r="77" spans="1:56" s="1" customFormat="1" x14ac:dyDescent="0.3"/>
    <row r="78" spans="1:56" s="1" customFormat="1" x14ac:dyDescent="0.3"/>
    <row r="79" spans="1:56" s="1" customFormat="1" x14ac:dyDescent="0.3"/>
    <row r="80" spans="1:56"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row>
    <row r="81" spans="1:56"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row>
    <row r="82" spans="1:56"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row>
    <row r="83" spans="1:56"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row>
    <row r="84" spans="1:56"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row>
    <row r="85" spans="1:56"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row>
    <row r="86" spans="1:56"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row>
    <row r="87" spans="1:56"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row>
    <row r="88" spans="1:56"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row>
    <row r="89" spans="1:56"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row>
    <row r="90" spans="1:56"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row>
    <row r="91" spans="1:56"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row>
    <row r="92" spans="1:56"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row>
    <row r="93" spans="1:56"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row>
    <row r="94" spans="1:56"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row>
    <row r="95" spans="1:56"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row>
    <row r="96" spans="1:56" x14ac:dyDescent="0.3">
      <c r="A96" s="1"/>
      <c r="B96" s="1"/>
      <c r="C96" s="1"/>
      <c r="D96" s="1"/>
      <c r="E96" s="1"/>
      <c r="F96" s="1"/>
      <c r="G96" s="1"/>
      <c r="O96" s="1"/>
      <c r="P96" s="1"/>
      <c r="Q96" s="1"/>
      <c r="R96" s="1"/>
      <c r="S96" s="1"/>
      <c r="T96" s="1"/>
      <c r="U96" s="1"/>
      <c r="V96" s="1"/>
      <c r="W96" s="1"/>
      <c r="X96" s="1"/>
      <c r="Y96" s="1"/>
      <c r="Z96" s="1"/>
      <c r="AA96" s="1"/>
      <c r="AB96" s="1"/>
      <c r="AC96" s="1"/>
      <c r="AD96" s="1"/>
    </row>
    <row r="97" spans="1:30" x14ac:dyDescent="0.3">
      <c r="A97" s="1"/>
      <c r="B97" s="1"/>
      <c r="C97" s="1"/>
      <c r="D97" s="1"/>
      <c r="E97" s="1"/>
      <c r="F97" s="1"/>
      <c r="G97" s="1"/>
      <c r="O97" s="1"/>
      <c r="P97" s="1"/>
      <c r="Q97" s="1"/>
      <c r="R97" s="1"/>
      <c r="S97" s="1"/>
      <c r="T97" s="1"/>
      <c r="U97" s="1"/>
      <c r="V97" s="1"/>
      <c r="W97" s="1"/>
      <c r="X97" s="1"/>
      <c r="Y97" s="1"/>
      <c r="Z97" s="1"/>
      <c r="AA97" s="1"/>
      <c r="AB97" s="1"/>
      <c r="AC97" s="1"/>
      <c r="AD97" s="1"/>
    </row>
    <row r="98" spans="1:30"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sheetData>
  <mergeCells count="5">
    <mergeCell ref="B1:F1"/>
    <mergeCell ref="B9:F9"/>
    <mergeCell ref="A19:F19"/>
    <mergeCell ref="A39:F39"/>
    <mergeCell ref="A63:F63"/>
  </mergeCells>
  <pageMargins left="0.7" right="0.7" top="0.75" bottom="0.75" header="0.3" footer="0.3"/>
  <headerFooter>
    <oddFooter>&amp;R_x000D_&amp;1#&amp;"Aptos"&amp;10&amp;K000000 Official Use Only</oddFooter>
  </headerFooter>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D18A8-33C0-4801-AB15-BDFF1CCBF180}">
  <dimension ref="A3:F37"/>
  <sheetViews>
    <sheetView tabSelected="1" topLeftCell="A20" workbookViewId="0">
      <selection activeCell="G37" sqref="G37"/>
    </sheetView>
  </sheetViews>
  <sheetFormatPr defaultRowHeight="14.4" x14ac:dyDescent="0.3"/>
  <sheetData>
    <row r="3" spans="1:6" x14ac:dyDescent="0.3">
      <c r="B3" s="23" t="s">
        <v>0</v>
      </c>
      <c r="C3" s="23"/>
      <c r="D3" s="23"/>
      <c r="E3" s="23"/>
      <c r="F3" s="23"/>
    </row>
    <row r="4" spans="1:6" x14ac:dyDescent="0.3">
      <c r="A4" t="s">
        <v>1</v>
      </c>
      <c r="B4" t="s">
        <v>2</v>
      </c>
      <c r="C4" t="s">
        <v>3</v>
      </c>
      <c r="D4" t="s">
        <v>4</v>
      </c>
      <c r="E4" t="s">
        <v>5</v>
      </c>
      <c r="F4" t="s">
        <v>6</v>
      </c>
    </row>
    <row r="5" spans="1:6" x14ac:dyDescent="0.3">
      <c r="A5" t="s">
        <v>7</v>
      </c>
      <c r="B5" s="2">
        <v>65.053818791658969</v>
      </c>
      <c r="C5" s="2">
        <v>65.013264403190078</v>
      </c>
      <c r="D5" s="2">
        <v>65.195344299233085</v>
      </c>
      <c r="E5" s="2">
        <v>65.244843835480339</v>
      </c>
      <c r="F5" s="2">
        <v>65.298036857352088</v>
      </c>
    </row>
    <row r="6" spans="1:6" x14ac:dyDescent="0.3">
      <c r="A6" t="s">
        <v>8</v>
      </c>
      <c r="B6" s="2">
        <v>20.716267609450579</v>
      </c>
      <c r="C6" s="2">
        <v>20.968212008409246</v>
      </c>
      <c r="D6" s="2">
        <v>19.33179667446116</v>
      </c>
      <c r="E6" s="2">
        <v>18.868635222624853</v>
      </c>
      <c r="F6" s="2">
        <v>19.073486398803663</v>
      </c>
    </row>
    <row r="7" spans="1:6" x14ac:dyDescent="0.3">
      <c r="A7" t="s">
        <v>9</v>
      </c>
      <c r="B7" s="2">
        <v>36.50689246506186</v>
      </c>
      <c r="C7" s="2">
        <v>36.539958523528398</v>
      </c>
      <c r="D7" s="2">
        <v>35.215360307116562</v>
      </c>
      <c r="E7" s="2">
        <v>33.731698810925906</v>
      </c>
      <c r="F7" s="2">
        <v>33.97520686401009</v>
      </c>
    </row>
    <row r="8" spans="1:6" x14ac:dyDescent="0.3">
      <c r="A8" t="s">
        <v>10</v>
      </c>
      <c r="B8" s="2">
        <v>59.394283013989984</v>
      </c>
      <c r="C8" s="2">
        <v>58.188354455271444</v>
      </c>
      <c r="D8" s="2">
        <v>58.619439956053448</v>
      </c>
      <c r="E8" s="2">
        <v>58.84403132617291</v>
      </c>
      <c r="F8" s="2">
        <v>59.060031394602319</v>
      </c>
    </row>
    <row r="9" spans="1:6" x14ac:dyDescent="0.3">
      <c r="A9" t="s">
        <v>11</v>
      </c>
      <c r="B9" s="2">
        <v>51.838004708499923</v>
      </c>
      <c r="C9" s="2">
        <v>51.555884212305408</v>
      </c>
      <c r="D9" s="2">
        <v>51.238661858503669</v>
      </c>
      <c r="E9" s="2">
        <v>50.915977128263052</v>
      </c>
      <c r="F9" s="2">
        <v>51.071955200983261</v>
      </c>
    </row>
    <row r="10" spans="1:6" x14ac:dyDescent="0.3">
      <c r="B10" s="2"/>
      <c r="C10" s="2"/>
      <c r="D10" s="2"/>
      <c r="E10" s="2"/>
      <c r="F10" s="2"/>
    </row>
    <row r="11" spans="1:6" x14ac:dyDescent="0.3">
      <c r="B11" s="24" t="s">
        <v>12</v>
      </c>
      <c r="C11" s="24"/>
      <c r="D11" s="24"/>
      <c r="E11" s="24"/>
      <c r="F11" s="24"/>
    </row>
    <row r="12" spans="1:6" x14ac:dyDescent="0.3">
      <c r="A12" t="s">
        <v>13</v>
      </c>
      <c r="B12" t="s">
        <v>2</v>
      </c>
      <c r="C12" t="s">
        <v>3</v>
      </c>
      <c r="D12" t="s">
        <v>4</v>
      </c>
      <c r="E12" t="s">
        <v>5</v>
      </c>
      <c r="F12" t="s">
        <v>6</v>
      </c>
    </row>
    <row r="13" spans="1:6" x14ac:dyDescent="0.3">
      <c r="A13" t="s">
        <v>7</v>
      </c>
      <c r="B13" s="2">
        <v>60.557107585605443</v>
      </c>
      <c r="C13" s="2">
        <v>60.709845342237038</v>
      </c>
      <c r="D13" s="2">
        <v>60.894069642498621</v>
      </c>
      <c r="E13" s="2">
        <v>61.020735504612361</v>
      </c>
      <c r="F13" s="2">
        <v>61.109808961117317</v>
      </c>
    </row>
    <row r="14" spans="1:6" x14ac:dyDescent="0.3">
      <c r="A14" t="s">
        <v>8</v>
      </c>
      <c r="B14" s="2">
        <v>31.631514035608472</v>
      </c>
      <c r="C14" s="2">
        <v>31.881468056216899</v>
      </c>
      <c r="D14" s="2">
        <v>29.692608734138844</v>
      </c>
      <c r="E14" s="2">
        <v>29.034347819702333</v>
      </c>
      <c r="F14" s="2">
        <v>29.203525988570391</v>
      </c>
    </row>
    <row r="15" spans="1:6" x14ac:dyDescent="0.3">
      <c r="A15" t="s">
        <v>9</v>
      </c>
      <c r="B15" s="2">
        <v>43.92126778000268</v>
      </c>
      <c r="C15" s="2">
        <v>44.255603185921885</v>
      </c>
      <c r="D15" s="2">
        <v>42.941950232981981</v>
      </c>
      <c r="E15" s="2">
        <v>41.789101867621888</v>
      </c>
      <c r="F15" s="2">
        <v>41.993389107246067</v>
      </c>
    </row>
    <row r="16" spans="1:6" x14ac:dyDescent="0.3">
      <c r="A16" t="s">
        <v>10</v>
      </c>
      <c r="B16" s="2">
        <v>58.288041409286876</v>
      </c>
      <c r="C16" s="2">
        <v>57.271383153362258</v>
      </c>
      <c r="D16" s="2">
        <v>57.749573806346746</v>
      </c>
      <c r="E16" s="2">
        <v>57.923719150139966</v>
      </c>
      <c r="F16" s="2">
        <v>58.091899808030213</v>
      </c>
    </row>
    <row r="17" spans="1:6" x14ac:dyDescent="0.3">
      <c r="A17" t="s">
        <v>14</v>
      </c>
      <c r="B17" s="2">
        <v>52.754961527227479</v>
      </c>
      <c r="C17" s="2">
        <v>52.667526746118462</v>
      </c>
      <c r="D17" s="2">
        <v>52.301300952558954</v>
      </c>
      <c r="E17" s="2">
        <v>52.051059890129636</v>
      </c>
      <c r="F17" s="2">
        <v>52.196110536587355</v>
      </c>
    </row>
    <row r="23" spans="1:6" x14ac:dyDescent="0.3">
      <c r="B23" t="s">
        <v>30</v>
      </c>
    </row>
    <row r="25" spans="1:6" x14ac:dyDescent="0.3">
      <c r="B25" t="s">
        <v>31</v>
      </c>
    </row>
    <row r="27" spans="1:6" x14ac:dyDescent="0.3">
      <c r="B27" t="s">
        <v>32</v>
      </c>
    </row>
    <row r="29" spans="1:6" x14ac:dyDescent="0.3">
      <c r="B29" t="s">
        <v>33</v>
      </c>
    </row>
    <row r="31" spans="1:6" x14ac:dyDescent="0.3">
      <c r="B31" t="s">
        <v>34</v>
      </c>
    </row>
    <row r="33" spans="2:2" x14ac:dyDescent="0.3">
      <c r="B33" t="s">
        <v>35</v>
      </c>
    </row>
    <row r="35" spans="2:2" x14ac:dyDescent="0.3">
      <c r="B35" t="s">
        <v>36</v>
      </c>
    </row>
    <row r="37" spans="2:2" x14ac:dyDescent="0.3">
      <c r="B37" t="s">
        <v>37</v>
      </c>
    </row>
  </sheetData>
  <mergeCells count="2">
    <mergeCell ref="B3:F3"/>
    <mergeCell ref="B11:F11"/>
  </mergeCell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8B974-FCFB-4807-8CDD-4996BD334219}">
  <dimension ref="A3:F9"/>
  <sheetViews>
    <sheetView workbookViewId="0">
      <selection activeCell="A3" sqref="A3"/>
    </sheetView>
  </sheetViews>
  <sheetFormatPr defaultRowHeight="14.4" x14ac:dyDescent="0.3"/>
  <cols>
    <col min="1" max="1" width="18.21875" bestFit="1" customWidth="1"/>
    <col min="2" max="6" width="12" bestFit="1" customWidth="1"/>
  </cols>
  <sheetData>
    <row r="3" spans="1:6" x14ac:dyDescent="0.3">
      <c r="A3" s="27" t="s">
        <v>1</v>
      </c>
      <c r="B3" t="s">
        <v>25</v>
      </c>
      <c r="C3" t="s">
        <v>26</v>
      </c>
      <c r="D3" t="s">
        <v>27</v>
      </c>
      <c r="E3" t="s">
        <v>28</v>
      </c>
      <c r="F3" t="s">
        <v>29</v>
      </c>
    </row>
    <row r="4" spans="1:6" x14ac:dyDescent="0.3">
      <c r="A4" s="28" t="s">
        <v>14</v>
      </c>
      <c r="B4" s="29">
        <v>52.754961527227479</v>
      </c>
      <c r="C4" s="29">
        <v>52.667526746118462</v>
      </c>
      <c r="D4" s="29">
        <v>52.301300952558954</v>
      </c>
      <c r="E4" s="29">
        <v>52.051059890129636</v>
      </c>
      <c r="F4" s="29">
        <v>52.196110536587355</v>
      </c>
    </row>
    <row r="5" spans="1:6" x14ac:dyDescent="0.3">
      <c r="A5" s="28" t="s">
        <v>7</v>
      </c>
      <c r="B5" s="29">
        <v>60.557107585605443</v>
      </c>
      <c r="C5" s="29">
        <v>60.709845342237038</v>
      </c>
      <c r="D5" s="29">
        <v>60.894069642498621</v>
      </c>
      <c r="E5" s="29">
        <v>61.020735504612361</v>
      </c>
      <c r="F5" s="29">
        <v>61.109808961117317</v>
      </c>
    </row>
    <row r="6" spans="1:6" x14ac:dyDescent="0.3">
      <c r="A6" s="28" t="s">
        <v>8</v>
      </c>
      <c r="B6" s="29">
        <v>31.631514035608472</v>
      </c>
      <c r="C6" s="29">
        <v>31.881468056216899</v>
      </c>
      <c r="D6" s="29">
        <v>29.692608734138844</v>
      </c>
      <c r="E6" s="29">
        <v>29.034347819702333</v>
      </c>
      <c r="F6" s="29">
        <v>29.203525988570391</v>
      </c>
    </row>
    <row r="7" spans="1:6" x14ac:dyDescent="0.3">
      <c r="A7" s="28" t="s">
        <v>9</v>
      </c>
      <c r="B7" s="29">
        <v>43.92126778000268</v>
      </c>
      <c r="C7" s="29">
        <v>44.255603185921885</v>
      </c>
      <c r="D7" s="29">
        <v>42.941950232981981</v>
      </c>
      <c r="E7" s="29">
        <v>41.789101867621888</v>
      </c>
      <c r="F7" s="29">
        <v>41.993389107246067</v>
      </c>
    </row>
    <row r="8" spans="1:6" x14ac:dyDescent="0.3">
      <c r="A8" s="28" t="s">
        <v>10</v>
      </c>
      <c r="B8" s="29">
        <v>58.288041409286876</v>
      </c>
      <c r="C8" s="29">
        <v>57.271383153362258</v>
      </c>
      <c r="D8" s="29">
        <v>57.749573806346746</v>
      </c>
      <c r="E8" s="29">
        <v>57.923719150139966</v>
      </c>
      <c r="F8" s="29">
        <v>58.091899808030213</v>
      </c>
    </row>
    <row r="9" spans="1:6" x14ac:dyDescent="0.3">
      <c r="A9" s="28" t="s">
        <v>24</v>
      </c>
      <c r="B9" s="29">
        <v>247.15289233773098</v>
      </c>
      <c r="C9" s="29">
        <v>246.78582648385654</v>
      </c>
      <c r="D9" s="29">
        <v>243.57950336852514</v>
      </c>
      <c r="E9" s="29">
        <v>241.81896423220618</v>
      </c>
      <c r="F9" s="29">
        <v>242.59473440155134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0BC8B-9E81-4837-8478-6C591E2338E5}">
  <dimension ref="A3:F9"/>
  <sheetViews>
    <sheetView workbookViewId="0">
      <selection activeCell="J23" sqref="J23"/>
    </sheetView>
  </sheetViews>
  <sheetFormatPr defaultRowHeight="14.4" x14ac:dyDescent="0.3"/>
  <cols>
    <col min="1" max="1" width="18.21875" bestFit="1" customWidth="1"/>
    <col min="2" max="6" width="11" bestFit="1" customWidth="1"/>
  </cols>
  <sheetData>
    <row r="3" spans="1:6" x14ac:dyDescent="0.3">
      <c r="A3" s="27" t="s">
        <v>1</v>
      </c>
      <c r="B3" t="s">
        <v>25</v>
      </c>
      <c r="C3" t="s">
        <v>26</v>
      </c>
      <c r="D3" t="s">
        <v>27</v>
      </c>
      <c r="E3" t="s">
        <v>28</v>
      </c>
      <c r="F3" t="s">
        <v>29</v>
      </c>
    </row>
    <row r="4" spans="1:6" x14ac:dyDescent="0.3">
      <c r="A4" s="28" t="s">
        <v>11</v>
      </c>
      <c r="B4" s="2">
        <v>51.838004708499923</v>
      </c>
      <c r="C4" s="2">
        <v>51.555884212305408</v>
      </c>
      <c r="D4" s="2">
        <v>51.238661858503669</v>
      </c>
      <c r="E4" s="2">
        <v>50.915977128263052</v>
      </c>
      <c r="F4" s="2">
        <v>51.071955200983261</v>
      </c>
    </row>
    <row r="5" spans="1:6" x14ac:dyDescent="0.3">
      <c r="A5" s="28" t="s">
        <v>7</v>
      </c>
      <c r="B5" s="2">
        <v>65.053818791658969</v>
      </c>
      <c r="C5" s="2">
        <v>65.013264403190078</v>
      </c>
      <c r="D5" s="2">
        <v>65.195344299233085</v>
      </c>
      <c r="E5" s="2">
        <v>65.244843835480339</v>
      </c>
      <c r="F5" s="2">
        <v>65.298036857352088</v>
      </c>
    </row>
    <row r="6" spans="1:6" x14ac:dyDescent="0.3">
      <c r="A6" s="28" t="s">
        <v>8</v>
      </c>
      <c r="B6" s="2">
        <v>20.716267609450579</v>
      </c>
      <c r="C6" s="2">
        <v>20.968212008409246</v>
      </c>
      <c r="D6" s="2">
        <v>19.33179667446116</v>
      </c>
      <c r="E6" s="2">
        <v>18.868635222624853</v>
      </c>
      <c r="F6" s="2">
        <v>19.073486398803663</v>
      </c>
    </row>
    <row r="7" spans="1:6" x14ac:dyDescent="0.3">
      <c r="A7" s="28" t="s">
        <v>9</v>
      </c>
      <c r="B7" s="2">
        <v>36.50689246506186</v>
      </c>
      <c r="C7" s="2">
        <v>36.539958523528398</v>
      </c>
      <c r="D7" s="2">
        <v>35.215360307116562</v>
      </c>
      <c r="E7" s="2">
        <v>33.731698810925906</v>
      </c>
      <c r="F7" s="2">
        <v>33.97520686401009</v>
      </c>
    </row>
    <row r="8" spans="1:6" x14ac:dyDescent="0.3">
      <c r="A8" s="28" t="s">
        <v>10</v>
      </c>
      <c r="B8" s="2">
        <v>59.394283013989984</v>
      </c>
      <c r="C8" s="2">
        <v>58.188354455271444</v>
      </c>
      <c r="D8" s="2">
        <v>58.619439956053448</v>
      </c>
      <c r="E8" s="2">
        <v>58.84403132617291</v>
      </c>
      <c r="F8" s="2">
        <v>59.060031394602319</v>
      </c>
    </row>
    <row r="9" spans="1:6" x14ac:dyDescent="0.3">
      <c r="A9" s="28" t="s">
        <v>24</v>
      </c>
      <c r="B9" s="2">
        <v>233.50926658866132</v>
      </c>
      <c r="C9" s="2">
        <v>232.26567360270457</v>
      </c>
      <c r="D9" s="2">
        <v>229.60060309536789</v>
      </c>
      <c r="E9" s="2">
        <v>227.60518632346705</v>
      </c>
      <c r="F9" s="2">
        <v>228.47871671575143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57B98-EE66-4191-A8A4-AC6483ED3518}">
  <dimension ref="A1:F15"/>
  <sheetViews>
    <sheetView workbookViewId="0">
      <selection sqref="A1:F15"/>
    </sheetView>
  </sheetViews>
  <sheetFormatPr defaultRowHeight="14.4" x14ac:dyDescent="0.3"/>
  <cols>
    <col min="1" max="1" width="18.44140625" customWidth="1"/>
    <col min="6" max="6" width="10.5546875" customWidth="1"/>
  </cols>
  <sheetData>
    <row r="1" spans="1:6" x14ac:dyDescent="0.3">
      <c r="B1" s="23" t="s">
        <v>0</v>
      </c>
      <c r="C1" s="23"/>
      <c r="D1" s="23"/>
      <c r="E1" s="23"/>
      <c r="F1" s="23"/>
    </row>
    <row r="2" spans="1:6" x14ac:dyDescent="0.3">
      <c r="A2" t="s">
        <v>1</v>
      </c>
      <c r="B2" t="s">
        <v>2</v>
      </c>
      <c r="C2" t="s">
        <v>3</v>
      </c>
      <c r="D2" t="s">
        <v>4</v>
      </c>
      <c r="E2" t="s">
        <v>5</v>
      </c>
      <c r="F2" t="s">
        <v>6</v>
      </c>
    </row>
    <row r="3" spans="1:6" x14ac:dyDescent="0.3">
      <c r="A3" t="s">
        <v>7</v>
      </c>
      <c r="B3" s="2">
        <v>65.053818791658969</v>
      </c>
      <c r="C3" s="2">
        <v>65.013264403190078</v>
      </c>
      <c r="D3" s="2">
        <v>65.195344299233085</v>
      </c>
      <c r="E3" s="2">
        <v>65.244843835480339</v>
      </c>
      <c r="F3" s="2">
        <v>65.298036857352088</v>
      </c>
    </row>
    <row r="4" spans="1:6" x14ac:dyDescent="0.3">
      <c r="A4" t="s">
        <v>8</v>
      </c>
      <c r="B4" s="2">
        <v>20.716267609450579</v>
      </c>
      <c r="C4" s="2">
        <v>20.968212008409246</v>
      </c>
      <c r="D4" s="2">
        <v>19.33179667446116</v>
      </c>
      <c r="E4" s="2">
        <v>18.868635222624853</v>
      </c>
      <c r="F4" s="2">
        <v>19.073486398803663</v>
      </c>
    </row>
    <row r="5" spans="1:6" x14ac:dyDescent="0.3">
      <c r="A5" t="s">
        <v>9</v>
      </c>
      <c r="B5" s="2">
        <v>36.50689246506186</v>
      </c>
      <c r="C5" s="2">
        <v>36.539958523528398</v>
      </c>
      <c r="D5" s="2">
        <v>35.215360307116562</v>
      </c>
      <c r="E5" s="2">
        <v>33.731698810925906</v>
      </c>
      <c r="F5" s="2">
        <v>33.97520686401009</v>
      </c>
    </row>
    <row r="6" spans="1:6" x14ac:dyDescent="0.3">
      <c r="A6" t="s">
        <v>10</v>
      </c>
      <c r="B6" s="2">
        <v>59.394283013989984</v>
      </c>
      <c r="C6" s="2">
        <v>58.188354455271444</v>
      </c>
      <c r="D6" s="2">
        <v>58.619439956053448</v>
      </c>
      <c r="E6" s="2">
        <v>58.84403132617291</v>
      </c>
      <c r="F6" s="2">
        <v>59.060031394602319</v>
      </c>
    </row>
    <row r="7" spans="1:6" x14ac:dyDescent="0.3">
      <c r="A7" t="s">
        <v>11</v>
      </c>
      <c r="B7" s="2">
        <v>51.838004708499923</v>
      </c>
      <c r="C7" s="2">
        <v>51.555884212305408</v>
      </c>
      <c r="D7" s="2">
        <v>51.238661858503669</v>
      </c>
      <c r="E7" s="2">
        <v>50.915977128263052</v>
      </c>
      <c r="F7" s="2">
        <v>51.071955200983261</v>
      </c>
    </row>
    <row r="8" spans="1:6" x14ac:dyDescent="0.3">
      <c r="B8" s="2"/>
      <c r="C8" s="2"/>
      <c r="D8" s="2"/>
      <c r="E8" s="2"/>
      <c r="F8" s="2"/>
    </row>
    <row r="9" spans="1:6" x14ac:dyDescent="0.3">
      <c r="B9" s="24" t="s">
        <v>12</v>
      </c>
      <c r="C9" s="24"/>
      <c r="D9" s="24"/>
      <c r="E9" s="24"/>
      <c r="F9" s="24"/>
    </row>
    <row r="10" spans="1:6" x14ac:dyDescent="0.3">
      <c r="A10" t="s">
        <v>13</v>
      </c>
      <c r="B10" t="s">
        <v>2</v>
      </c>
      <c r="C10" t="s">
        <v>3</v>
      </c>
      <c r="D10" t="s">
        <v>4</v>
      </c>
      <c r="E10" t="s">
        <v>5</v>
      </c>
      <c r="F10" t="s">
        <v>6</v>
      </c>
    </row>
    <row r="11" spans="1:6" x14ac:dyDescent="0.3">
      <c r="A11" t="s">
        <v>7</v>
      </c>
      <c r="B11" s="2">
        <v>60.557107585605443</v>
      </c>
      <c r="C11" s="2">
        <v>60.709845342237038</v>
      </c>
      <c r="D11" s="2">
        <v>60.894069642498621</v>
      </c>
      <c r="E11" s="2">
        <v>61.020735504612361</v>
      </c>
      <c r="F11" s="2">
        <v>61.109808961117317</v>
      </c>
    </row>
    <row r="12" spans="1:6" x14ac:dyDescent="0.3">
      <c r="A12" t="s">
        <v>8</v>
      </c>
      <c r="B12" s="2">
        <v>31.631514035608472</v>
      </c>
      <c r="C12" s="2">
        <v>31.881468056216899</v>
      </c>
      <c r="D12" s="2">
        <v>29.692608734138844</v>
      </c>
      <c r="E12" s="2">
        <v>29.034347819702333</v>
      </c>
      <c r="F12" s="2">
        <v>29.203525988570391</v>
      </c>
    </row>
    <row r="13" spans="1:6" x14ac:dyDescent="0.3">
      <c r="A13" t="s">
        <v>9</v>
      </c>
      <c r="B13" s="2">
        <v>43.92126778000268</v>
      </c>
      <c r="C13" s="2">
        <v>44.255603185921885</v>
      </c>
      <c r="D13" s="2">
        <v>42.941950232981981</v>
      </c>
      <c r="E13" s="2">
        <v>41.789101867621888</v>
      </c>
      <c r="F13" s="2">
        <v>41.993389107246067</v>
      </c>
    </row>
    <row r="14" spans="1:6" x14ac:dyDescent="0.3">
      <c r="A14" t="s">
        <v>10</v>
      </c>
      <c r="B14" s="2">
        <v>58.288041409286876</v>
      </c>
      <c r="C14" s="2">
        <v>57.271383153362258</v>
      </c>
      <c r="D14" s="2">
        <v>57.749573806346746</v>
      </c>
      <c r="E14" s="2">
        <v>57.923719150139966</v>
      </c>
      <c r="F14" s="2">
        <v>58.091899808030213</v>
      </c>
    </row>
    <row r="15" spans="1:6" x14ac:dyDescent="0.3">
      <c r="A15" t="s">
        <v>14</v>
      </c>
      <c r="B15" s="2">
        <v>52.754961527227479</v>
      </c>
      <c r="C15" s="2">
        <v>52.667526746118462</v>
      </c>
      <c r="D15" s="2">
        <v>52.301300952558954</v>
      </c>
      <c r="E15" s="2">
        <v>52.051059890129636</v>
      </c>
      <c r="F15" s="2">
        <v>52.196110536587355</v>
      </c>
    </row>
  </sheetData>
  <mergeCells count="2">
    <mergeCell ref="B1:F1"/>
    <mergeCell ref="B9:F9"/>
  </mergeCells>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3709e45d-35e4-4fe0-8bfe-5b23fcbe67f6" xsi:nil="true"/>
    <lcf76f155ced4ddcb4097134ff3c332f xmlns="f3a364aa-5001-40c5-a75d-d40f617f72d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B67DEE85752748A2FA32AFE80B0CB9" ma:contentTypeVersion="18" ma:contentTypeDescription="Create a new document." ma:contentTypeScope="" ma:versionID="7faff0db1814ae619faac97405dead82">
  <xsd:schema xmlns:xsd="http://www.w3.org/2001/XMLSchema" xmlns:xs="http://www.w3.org/2001/XMLSchema" xmlns:p="http://schemas.microsoft.com/office/2006/metadata/properties" xmlns:ns1="http://schemas.microsoft.com/sharepoint/v3" xmlns:ns2="f3a364aa-5001-40c5-a75d-d40f617f72d3" xmlns:ns3="3709e45d-35e4-4fe0-8bfe-5b23fcbe67f6" targetNamespace="http://schemas.microsoft.com/office/2006/metadata/properties" ma:root="true" ma:fieldsID="dfdcf634f4b83141756b0f28ef757e6b" ns1:_="" ns2:_="" ns3:_="">
    <xsd:import namespace="http://schemas.microsoft.com/sharepoint/v3"/>
    <xsd:import namespace="f3a364aa-5001-40c5-a75d-d40f617f72d3"/>
    <xsd:import namespace="3709e45d-35e4-4fe0-8bfe-5b23fcbe67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Location"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a364aa-5001-40c5-a75d-d40f617f7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09e45d-35e4-4fe0-8bfe-5b23fcbe67f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8bf4746-318a-43c4-b879-a8bb21239ac1}" ma:internalName="TaxCatchAll" ma:showField="CatchAllData" ma:web="3709e45d-35e4-4fe0-8bfe-5b23fcbe67f6">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EEC4E2-AAE1-4744-9E45-909BC325B0A6}">
  <ds:schemaRefs>
    <ds:schemaRef ds:uri="http://schemas.microsoft.com/office/2006/metadata/properties"/>
    <ds:schemaRef ds:uri="http://schemas.microsoft.com/office/infopath/2007/PartnerControls"/>
    <ds:schemaRef ds:uri="http://schemas.microsoft.com/sharepoint/v3"/>
    <ds:schemaRef ds:uri="3709e45d-35e4-4fe0-8bfe-5b23fcbe67f6"/>
    <ds:schemaRef ds:uri="f3a364aa-5001-40c5-a75d-d40f617f72d3"/>
  </ds:schemaRefs>
</ds:datastoreItem>
</file>

<file path=customXml/itemProps2.xml><?xml version="1.0" encoding="utf-8"?>
<ds:datastoreItem xmlns:ds="http://schemas.openxmlformats.org/officeDocument/2006/customXml" ds:itemID="{893DF66E-33F1-4617-9581-D58ACB28A6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3a364aa-5001-40c5-a75d-d40f617f72d3"/>
    <ds:schemaRef ds:uri="3709e45d-35e4-4fe0-8bfe-5b23fcbe67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8E2614-E312-4A67-AB91-80E868705F6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Wage Data </vt:lpstr>
      <vt:lpstr>Solved Task</vt:lpstr>
      <vt:lpstr>Sheet3</vt:lpstr>
      <vt:lpstr>Sheet4</vt:lpstr>
      <vt:lpstr>Sheet2</vt:lpstr>
      <vt:lpstr>Sheet1</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Maryam Gul</dc:creator>
  <cp:keywords/>
  <dc:description/>
  <cp:lastModifiedBy>Ogbeche michael</cp:lastModifiedBy>
  <cp:revision/>
  <dcterms:created xsi:type="dcterms:W3CDTF">2026-03-25T20:01:53Z</dcterms:created>
  <dcterms:modified xsi:type="dcterms:W3CDTF">2026-10-14T12:39:51Z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2026-03-25T20:02:54Z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aa014b2a-77b8-4bd3-8f08-efd40a3b6d88</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y fmtid="{D5CDD505-2E9C-101B-9397-08002B2CF9AE}" pid="10" name="ContentTypeId">
    <vt:lpwstr>0x01010026B67DEE85752748A2FA32AFE80B0CB9</vt:lpwstr>
  </property>
  <property fmtid="{D5CDD505-2E9C-101B-9397-08002B2CF9AE}" pid="11" name="MediaServiceImageTags">
    <vt:lpwstr/>
  </property>
</Properties>
</file>