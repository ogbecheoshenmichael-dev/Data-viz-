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4de1576653a256/Documents/"/>
    </mc:Choice>
  </mc:AlternateContent>
  <xr:revisionPtr revIDLastSave="256" documentId="8_{6F7186AF-F9D7-452A-85DF-4196CA379E35}" xr6:coauthVersionLast="47" xr6:coauthVersionMax="47" xr10:uidLastSave="{4F26D836-182D-438B-A3A8-F35A7D5454EB}"/>
  <bookViews>
    <workbookView xWindow="-108" yWindow="-108" windowWidth="23256" windowHeight="12456" xr2:uid="{00000000-000D-0000-FFFF-FFFF00000000}"/>
  </bookViews>
  <sheets>
    <sheet name="Country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M2" i="1"/>
  <c r="N2" i="1"/>
  <c r="O2" i="1"/>
  <c r="L3" i="1"/>
  <c r="M3" i="1"/>
  <c r="N3" i="1"/>
  <c r="O3" i="1"/>
  <c r="L4" i="1"/>
  <c r="M4" i="1"/>
  <c r="N4" i="1"/>
  <c r="O4" i="1"/>
  <c r="L5" i="1"/>
  <c r="M5" i="1"/>
  <c r="N5" i="1"/>
  <c r="O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</calcChain>
</file>

<file path=xl/sharedStrings.xml><?xml version="1.0" encoding="utf-8"?>
<sst xmlns="http://schemas.openxmlformats.org/spreadsheetml/2006/main" count="14" uniqueCount="14">
  <si>
    <t>Country Name</t>
  </si>
  <si>
    <t>Afghanistan</t>
  </si>
  <si>
    <t>Bangladesh</t>
  </si>
  <si>
    <t>Bhutan</t>
  </si>
  <si>
    <t>India</t>
  </si>
  <si>
    <t>Maldives</t>
  </si>
  <si>
    <t>Nepal</t>
  </si>
  <si>
    <t>Pakistan</t>
  </si>
  <si>
    <t>Sri Lanka</t>
  </si>
  <si>
    <t>Data from: https://data.worldbank.org/indicator/SE.PRM.ENRR</t>
  </si>
  <si>
    <t>Average</t>
  </si>
  <si>
    <t>Max</t>
  </si>
  <si>
    <t>Min</t>
  </si>
  <si>
    <t>percentage change 2014 to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</si>
</sst>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Country</a:t>
            </a:r>
            <a:r>
              <a:rPr lang="en-US" baseline="0"/>
              <a:t> enrollment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Data'!$A$2:$A$9</c:f>
              <c:strCache>
                <c:ptCount val="8"/>
                <c:pt idx="0">
                  <c:v>Afghanistan</c:v>
                </c:pt>
                <c:pt idx="1">
                  <c:v>Bangladesh</c:v>
                </c:pt>
                <c:pt idx="2">
                  <c:v>Bhutan</c:v>
                </c:pt>
                <c:pt idx="3">
                  <c:v>India</c:v>
                </c:pt>
                <c:pt idx="4">
                  <c:v>Maldives</c:v>
                </c:pt>
                <c:pt idx="5">
                  <c:v>Nepal</c:v>
                </c:pt>
                <c:pt idx="6">
                  <c:v>Pakistan</c:v>
                </c:pt>
                <c:pt idx="7">
                  <c:v>Sri Lanka</c:v>
                </c:pt>
              </c:strCache>
            </c:strRef>
          </c:cat>
          <c:val>
            <c:numRef>
              <c:f>'Country Data'!$K$2:$K$9</c:f>
              <c:numCache>
                <c:formatCode>General</c:formatCode>
                <c:ptCount val="8"/>
                <c:pt idx="1">
                  <c:v>111.6</c:v>
                </c:pt>
                <c:pt idx="3">
                  <c:v>112</c:v>
                </c:pt>
                <c:pt idx="4">
                  <c:v>97.5</c:v>
                </c:pt>
                <c:pt idx="5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2-4694-B19B-796861AA1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787776"/>
        <c:axId val="553929136"/>
      </c:barChart>
      <c:catAx>
        <c:axId val="40378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29136"/>
        <c:crosses val="autoZero"/>
        <c:auto val="1"/>
        <c:lblAlgn val="ctr"/>
        <c:lblOffset val="100"/>
        <c:noMultiLvlLbl val="0"/>
      </c:catAx>
      <c:valAx>
        <c:axId val="55392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78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 chart of stagnate overtime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'Country Data'!$A$2</c:f>
              <c:strCache>
                <c:ptCount val="1"/>
                <c:pt idx="0">
                  <c:v>Afghanistan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Lit>
              <c:formatCode>General</c:formatCode>
              <c:ptCount val="10"/>
              <c:pt idx="0">
                <c:v>2014</c:v>
              </c:pt>
              <c:pt idx="1">
                <c:v>2015</c:v>
              </c:pt>
              <c:pt idx="2">
                <c:v>2016</c:v>
              </c:pt>
              <c:pt idx="3">
                <c:v>2017</c:v>
              </c:pt>
              <c:pt idx="4">
                <c:v>2018</c:v>
              </c:pt>
              <c:pt idx="5">
                <c:v>2019</c:v>
              </c:pt>
              <c:pt idx="6">
                <c:v>2020</c:v>
              </c:pt>
              <c:pt idx="7">
                <c:v>2021</c:v>
              </c:pt>
              <c:pt idx="8">
                <c:v>2022</c:v>
              </c:pt>
              <c:pt idx="9">
                <c:v>2023</c:v>
              </c:pt>
            </c:numLit>
          </c:cat>
          <c:val>
            <c:numRef>
              <c:f>'Country Data'!$B$2:$K$2</c:f>
              <c:numCache>
                <c:formatCode>General</c:formatCode>
                <c:ptCount val="10"/>
                <c:pt idx="0">
                  <c:v>109.1</c:v>
                </c:pt>
                <c:pt idx="1">
                  <c:v>106.2</c:v>
                </c:pt>
                <c:pt idx="2">
                  <c:v>106.2</c:v>
                </c:pt>
                <c:pt idx="3">
                  <c:v>106.1</c:v>
                </c:pt>
                <c:pt idx="4">
                  <c:v>107.8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B3-4B3E-B9F3-9666CDC2E0D6}"/>
            </c:ext>
          </c:extLst>
        </c:ser>
        <c:ser>
          <c:idx val="1"/>
          <c:order val="1"/>
          <c:tx>
            <c:strRef>
              <c:f>'Country Data'!$A$3</c:f>
              <c:strCache>
                <c:ptCount val="1"/>
                <c:pt idx="0">
                  <c:v>Bangladesh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Lit>
              <c:formatCode>General</c:formatCode>
              <c:ptCount val="10"/>
              <c:pt idx="0">
                <c:v>2014</c:v>
              </c:pt>
              <c:pt idx="1">
                <c:v>2015</c:v>
              </c:pt>
              <c:pt idx="2">
                <c:v>2016</c:v>
              </c:pt>
              <c:pt idx="3">
                <c:v>2017</c:v>
              </c:pt>
              <c:pt idx="4">
                <c:v>2018</c:v>
              </c:pt>
              <c:pt idx="5">
                <c:v>2019</c:v>
              </c:pt>
              <c:pt idx="6">
                <c:v>2020</c:v>
              </c:pt>
              <c:pt idx="7">
                <c:v>2021</c:v>
              </c:pt>
              <c:pt idx="8">
                <c:v>2022</c:v>
              </c:pt>
              <c:pt idx="9">
                <c:v>2023</c:v>
              </c:pt>
            </c:numLit>
          </c:cat>
          <c:val>
            <c:numRef>
              <c:f>'Country Data'!$B$3:$K$3</c:f>
              <c:numCache>
                <c:formatCode>General</c:formatCode>
                <c:ptCount val="10"/>
                <c:pt idx="3">
                  <c:v>109.1</c:v>
                </c:pt>
                <c:pt idx="4">
                  <c:v>112.4</c:v>
                </c:pt>
                <c:pt idx="6">
                  <c:v>118.4</c:v>
                </c:pt>
                <c:pt idx="7">
                  <c:v>115.4</c:v>
                </c:pt>
                <c:pt idx="8">
                  <c:v>117.7</c:v>
                </c:pt>
                <c:pt idx="9">
                  <c:v>111.6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B3-4B3E-B9F3-9666CDC2E0D6}"/>
            </c:ext>
          </c:extLst>
        </c:ser>
        <c:ser>
          <c:idx val="2"/>
          <c:order val="2"/>
          <c:tx>
            <c:strRef>
              <c:f>'Country Data'!$A$4</c:f>
              <c:strCache>
                <c:ptCount val="1"/>
                <c:pt idx="0">
                  <c:v>Bhutan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Lit>
              <c:formatCode>General</c:formatCode>
              <c:ptCount val="10"/>
              <c:pt idx="0">
                <c:v>2014</c:v>
              </c:pt>
              <c:pt idx="1">
                <c:v>2015</c:v>
              </c:pt>
              <c:pt idx="2">
                <c:v>2016</c:v>
              </c:pt>
              <c:pt idx="3">
                <c:v>2017</c:v>
              </c:pt>
              <c:pt idx="4">
                <c:v>2018</c:v>
              </c:pt>
              <c:pt idx="5">
                <c:v>2019</c:v>
              </c:pt>
              <c:pt idx="6">
                <c:v>2020</c:v>
              </c:pt>
              <c:pt idx="7">
                <c:v>2021</c:v>
              </c:pt>
              <c:pt idx="8">
                <c:v>2022</c:v>
              </c:pt>
              <c:pt idx="9">
                <c:v>2023</c:v>
              </c:pt>
            </c:numLit>
          </c:cat>
          <c:val>
            <c:numRef>
              <c:f>'Country Data'!$B$4:$K$4</c:f>
              <c:numCache>
                <c:formatCode>General</c:formatCode>
                <c:ptCount val="10"/>
                <c:pt idx="0">
                  <c:v>104</c:v>
                </c:pt>
                <c:pt idx="1">
                  <c:v>102.5</c:v>
                </c:pt>
                <c:pt idx="2">
                  <c:v>100.9</c:v>
                </c:pt>
                <c:pt idx="3">
                  <c:v>99.7</c:v>
                </c:pt>
                <c:pt idx="4">
                  <c:v>99.3</c:v>
                </c:pt>
                <c:pt idx="5">
                  <c:v>98</c:v>
                </c:pt>
                <c:pt idx="6">
                  <c:v>103.8</c:v>
                </c:pt>
                <c:pt idx="7">
                  <c:v>103</c:v>
                </c:pt>
                <c:pt idx="8">
                  <c:v>106.1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B3-4B3E-B9F3-9666CDC2E0D6}"/>
            </c:ext>
          </c:extLst>
        </c:ser>
        <c:ser>
          <c:idx val="3"/>
          <c:order val="3"/>
          <c:tx>
            <c:strRef>
              <c:f>'Country Data'!$A$5</c:f>
              <c:strCache>
                <c:ptCount val="1"/>
                <c:pt idx="0">
                  <c:v>India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Lit>
              <c:formatCode>General</c:formatCode>
              <c:ptCount val="10"/>
              <c:pt idx="0">
                <c:v>2014</c:v>
              </c:pt>
              <c:pt idx="1">
                <c:v>2015</c:v>
              </c:pt>
              <c:pt idx="2">
                <c:v>2016</c:v>
              </c:pt>
              <c:pt idx="3">
                <c:v>2017</c:v>
              </c:pt>
              <c:pt idx="4">
                <c:v>2018</c:v>
              </c:pt>
              <c:pt idx="5">
                <c:v>2019</c:v>
              </c:pt>
              <c:pt idx="6">
                <c:v>2020</c:v>
              </c:pt>
              <c:pt idx="7">
                <c:v>2021</c:v>
              </c:pt>
              <c:pt idx="8">
                <c:v>2022</c:v>
              </c:pt>
              <c:pt idx="9">
                <c:v>2023</c:v>
              </c:pt>
            </c:numLit>
          </c:cat>
          <c:val>
            <c:numRef>
              <c:f>'Country Data'!$B$5:$K$5</c:f>
              <c:numCache>
                <c:formatCode>General</c:formatCode>
                <c:ptCount val="10"/>
                <c:pt idx="0">
                  <c:v>111.6</c:v>
                </c:pt>
                <c:pt idx="1">
                  <c:v>112.9</c:v>
                </c:pt>
                <c:pt idx="2">
                  <c:v>119.5</c:v>
                </c:pt>
                <c:pt idx="3">
                  <c:v>117.9</c:v>
                </c:pt>
                <c:pt idx="4">
                  <c:v>101.1</c:v>
                </c:pt>
                <c:pt idx="5">
                  <c:v>99.5</c:v>
                </c:pt>
                <c:pt idx="6">
                  <c:v>101.3</c:v>
                </c:pt>
                <c:pt idx="7">
                  <c:v>102.3</c:v>
                </c:pt>
                <c:pt idx="8">
                  <c:v>111.1</c:v>
                </c:pt>
                <c:pt idx="9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B3-4B3E-B9F3-9666CDC2E0D6}"/>
            </c:ext>
          </c:extLst>
        </c:ser>
        <c:ser>
          <c:idx val="4"/>
          <c:order val="4"/>
          <c:tx>
            <c:strRef>
              <c:f>'Country Data'!$A$6</c:f>
              <c:strCache>
                <c:ptCount val="1"/>
                <c:pt idx="0">
                  <c:v>Maldives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Lit>
              <c:formatCode>General</c:formatCode>
              <c:ptCount val="10"/>
              <c:pt idx="0">
                <c:v>2014</c:v>
              </c:pt>
              <c:pt idx="1">
                <c:v>2015</c:v>
              </c:pt>
              <c:pt idx="2">
                <c:v>2016</c:v>
              </c:pt>
              <c:pt idx="3">
                <c:v>2017</c:v>
              </c:pt>
              <c:pt idx="4">
                <c:v>2018</c:v>
              </c:pt>
              <c:pt idx="5">
                <c:v>2019</c:v>
              </c:pt>
              <c:pt idx="6">
                <c:v>2020</c:v>
              </c:pt>
              <c:pt idx="7">
                <c:v>2021</c:v>
              </c:pt>
              <c:pt idx="8">
                <c:v>2022</c:v>
              </c:pt>
              <c:pt idx="9">
                <c:v>2023</c:v>
              </c:pt>
            </c:numLit>
          </c:cat>
          <c:val>
            <c:numRef>
              <c:f>'Country Data'!$B$6:$K$6</c:f>
              <c:numCache>
                <c:formatCode>General</c:formatCode>
                <c:ptCount val="10"/>
                <c:pt idx="0">
                  <c:v>96.8</c:v>
                </c:pt>
                <c:pt idx="1">
                  <c:v>99</c:v>
                </c:pt>
                <c:pt idx="2">
                  <c:v>98.1</c:v>
                </c:pt>
                <c:pt idx="3">
                  <c:v>96.9</c:v>
                </c:pt>
                <c:pt idx="4">
                  <c:v>96.6</c:v>
                </c:pt>
                <c:pt idx="5">
                  <c:v>97.1</c:v>
                </c:pt>
                <c:pt idx="6">
                  <c:v>97.8</c:v>
                </c:pt>
                <c:pt idx="8">
                  <c:v>95.4</c:v>
                </c:pt>
                <c:pt idx="9">
                  <c:v>97.5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B3-4B3E-B9F3-9666CDC2E0D6}"/>
            </c:ext>
          </c:extLst>
        </c:ser>
        <c:ser>
          <c:idx val="5"/>
          <c:order val="5"/>
          <c:tx>
            <c:strRef>
              <c:f>'Country Data'!$A$7</c:f>
              <c:strCache>
                <c:ptCount val="1"/>
                <c:pt idx="0">
                  <c:v>Nepal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Lit>
              <c:formatCode>General</c:formatCode>
              <c:ptCount val="10"/>
              <c:pt idx="0">
                <c:v>2014</c:v>
              </c:pt>
              <c:pt idx="1">
                <c:v>2015</c:v>
              </c:pt>
              <c:pt idx="2">
                <c:v>2016</c:v>
              </c:pt>
              <c:pt idx="3">
                <c:v>2017</c:v>
              </c:pt>
              <c:pt idx="4">
                <c:v>2018</c:v>
              </c:pt>
              <c:pt idx="5">
                <c:v>2019</c:v>
              </c:pt>
              <c:pt idx="6">
                <c:v>2020</c:v>
              </c:pt>
              <c:pt idx="7">
                <c:v>2021</c:v>
              </c:pt>
              <c:pt idx="8">
                <c:v>2022</c:v>
              </c:pt>
              <c:pt idx="9">
                <c:v>2023</c:v>
              </c:pt>
            </c:numLit>
          </c:cat>
          <c:val>
            <c:numRef>
              <c:f>'Country Data'!$B$7:$K$7</c:f>
              <c:numCache>
                <c:formatCode>General</c:formatCode>
                <c:ptCount val="10"/>
                <c:pt idx="0">
                  <c:v>141.9</c:v>
                </c:pt>
                <c:pt idx="1">
                  <c:v>143</c:v>
                </c:pt>
                <c:pt idx="2">
                  <c:v>143.4</c:v>
                </c:pt>
                <c:pt idx="3">
                  <c:v>140.80000000000001</c:v>
                </c:pt>
                <c:pt idx="5">
                  <c:v>136.69999999999999</c:v>
                </c:pt>
                <c:pt idx="6">
                  <c:v>121.2</c:v>
                </c:pt>
                <c:pt idx="7">
                  <c:v>118.3</c:v>
                </c:pt>
                <c:pt idx="8">
                  <c:v>118.8</c:v>
                </c:pt>
                <c:pt idx="9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2B3-4B3E-B9F3-9666CDC2E0D6}"/>
            </c:ext>
          </c:extLst>
        </c:ser>
        <c:ser>
          <c:idx val="6"/>
          <c:order val="6"/>
          <c:tx>
            <c:strRef>
              <c:f>'Country Data'!$A$8</c:f>
              <c:strCache>
                <c:ptCount val="1"/>
                <c:pt idx="0">
                  <c:v>Pakistan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</a:ln>
            <a:effectLst>
              <a:glow rad="139700">
                <a:schemeClr val="accent1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Lit>
              <c:formatCode>General</c:formatCode>
              <c:ptCount val="10"/>
              <c:pt idx="0">
                <c:v>2014</c:v>
              </c:pt>
              <c:pt idx="1">
                <c:v>2015</c:v>
              </c:pt>
              <c:pt idx="2">
                <c:v>2016</c:v>
              </c:pt>
              <c:pt idx="3">
                <c:v>2017</c:v>
              </c:pt>
              <c:pt idx="4">
                <c:v>2018</c:v>
              </c:pt>
              <c:pt idx="5">
                <c:v>2019</c:v>
              </c:pt>
              <c:pt idx="6">
                <c:v>2020</c:v>
              </c:pt>
              <c:pt idx="7">
                <c:v>2021</c:v>
              </c:pt>
              <c:pt idx="8">
                <c:v>2022</c:v>
              </c:pt>
              <c:pt idx="9">
                <c:v>2023</c:v>
              </c:pt>
            </c:numLit>
          </c:cat>
          <c:val>
            <c:numRef>
              <c:f>'Country Data'!$B$8:$K$8</c:f>
              <c:numCache>
                <c:formatCode>General</c:formatCode>
                <c:ptCount val="10"/>
                <c:pt idx="0">
                  <c:v>74.3</c:v>
                </c:pt>
                <c:pt idx="1">
                  <c:v>74.8</c:v>
                </c:pt>
                <c:pt idx="2">
                  <c:v>79.8</c:v>
                </c:pt>
                <c:pt idx="3">
                  <c:v>78.8</c:v>
                </c:pt>
                <c:pt idx="4">
                  <c:v>82</c:v>
                </c:pt>
                <c:pt idx="5">
                  <c:v>83.2</c:v>
                </c:pt>
                <c:pt idx="7">
                  <c:v>84.4</c:v>
                </c:pt>
                <c:pt idx="8">
                  <c:v>82.7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2B3-4B3E-B9F3-9666CDC2E0D6}"/>
            </c:ext>
          </c:extLst>
        </c:ser>
        <c:ser>
          <c:idx val="7"/>
          <c:order val="7"/>
          <c:tx>
            <c:strRef>
              <c:f>'Country Data'!$A$9</c:f>
              <c:strCache>
                <c:ptCount val="1"/>
                <c:pt idx="0">
                  <c:v>Sri Lanka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</a:ln>
            <a:effectLst>
              <a:glow rad="139700">
                <a:schemeClr val="accent2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Lit>
              <c:formatCode>General</c:formatCode>
              <c:ptCount val="10"/>
              <c:pt idx="0">
                <c:v>2014</c:v>
              </c:pt>
              <c:pt idx="1">
                <c:v>2015</c:v>
              </c:pt>
              <c:pt idx="2">
                <c:v>2016</c:v>
              </c:pt>
              <c:pt idx="3">
                <c:v>2017</c:v>
              </c:pt>
              <c:pt idx="4">
                <c:v>2018</c:v>
              </c:pt>
              <c:pt idx="5">
                <c:v>2019</c:v>
              </c:pt>
              <c:pt idx="6">
                <c:v>2020</c:v>
              </c:pt>
              <c:pt idx="7">
                <c:v>2021</c:v>
              </c:pt>
              <c:pt idx="8">
                <c:v>2022</c:v>
              </c:pt>
              <c:pt idx="9">
                <c:v>2023</c:v>
              </c:pt>
            </c:numLit>
          </c:cat>
          <c:val>
            <c:numRef>
              <c:f>'Country Data'!$B$9:$K$9</c:f>
              <c:numCache>
                <c:formatCode>General</c:formatCode>
                <c:ptCount val="10"/>
                <c:pt idx="0">
                  <c:v>97.4</c:v>
                </c:pt>
                <c:pt idx="1">
                  <c:v>97.5</c:v>
                </c:pt>
                <c:pt idx="2">
                  <c:v>97.5</c:v>
                </c:pt>
                <c:pt idx="3">
                  <c:v>97.6</c:v>
                </c:pt>
                <c:pt idx="4">
                  <c:v>97.3</c:v>
                </c:pt>
                <c:pt idx="5">
                  <c:v>97.3</c:v>
                </c:pt>
                <c:pt idx="6">
                  <c:v>97.5</c:v>
                </c:pt>
                <c:pt idx="7">
                  <c:v>96.9</c:v>
                </c:pt>
                <c:pt idx="8">
                  <c:v>95.9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2B3-4B3E-B9F3-9666CDC2E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6940336"/>
        <c:axId val="554025616"/>
      </c:lineChart>
      <c:catAx>
        <c:axId val="4069403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025616"/>
        <c:crosses val="autoZero"/>
        <c:auto val="1"/>
        <c:lblAlgn val="ctr"/>
        <c:lblOffset val="100"/>
        <c:noMultiLvlLbl val="0"/>
      </c:catAx>
      <c:valAx>
        <c:axId val="5540256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94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563880</xdr:colOff>
      <xdr:row>12</xdr:row>
      <xdr:rowOff>49530</xdr:rowOff>
    </xdr:from>
    <xdr:to>
      <xdr:col>11</xdr:col>
      <xdr:colOff>662940</xdr:colOff>
      <xdr:row>27</xdr:row>
      <xdr:rowOff>49530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6959157-8AE1-1177-40B0-66E8F646F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434340</xdr:colOff>
      <xdr:row>10</xdr:row>
      <xdr:rowOff>95250</xdr:rowOff>
    </xdr:from>
    <xdr:to>
      <xdr:col>17</xdr:col>
      <xdr:colOff>266700</xdr:colOff>
      <xdr:row>25</xdr:row>
      <xdr:rowOff>95250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6C9E25D-E22F-1F63-77EA-69EA3952A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B2" activeCellId="1" sqref="A2:A9 B2:K9"/>
    </sheetView>
  </sheetViews>
  <sheetFormatPr defaultRowHeight="14.4" x14ac:dyDescent="0.3"/>
  <cols>
    <col min="1" max="1" width="13.88671875" bestFit="1" customWidth="1"/>
    <col min="12" max="12" width="12.88671875" customWidth="1"/>
    <col min="15" max="15" width="26.77734375" customWidth="1"/>
    <col min="16" max="16" width="15.6640625" customWidth="1"/>
  </cols>
  <sheetData>
    <row r="1" spans="1:15" x14ac:dyDescent="0.3">
      <c r="A1" s="1" t="s">
        <v>0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 t="s">
        <v>10</v>
      </c>
      <c r="M1" t="s">
        <v>12</v>
      </c>
      <c r="N1" t="s">
        <v>11</v>
      </c>
      <c r="O1" t="s">
        <v>13</v>
      </c>
    </row>
    <row r="2" spans="1:15" x14ac:dyDescent="0.3">
      <c r="A2" t="s">
        <v>1</v>
      </c>
      <c r="B2">
        <v>109.1</v>
      </c>
      <c r="C2">
        <v>106.2</v>
      </c>
      <c r="D2">
        <v>106.2</v>
      </c>
      <c r="E2">
        <v>106.1</v>
      </c>
      <c r="F2">
        <v>107.8</v>
      </c>
      <c r="G2">
        <v>110</v>
      </c>
      <c r="L2">
        <f t="shared" ref="L2:L9" si="0">AVERAGE(B2:K2)</f>
        <v>107.56666666666666</v>
      </c>
      <c r="M2">
        <f t="shared" ref="M2:M9" si="1">MIN(B2:K2)</f>
        <v>106.1</v>
      </c>
      <c r="N2">
        <f t="shared" ref="N2:N9" si="2">MAX(B2:K2)</f>
        <v>110</v>
      </c>
      <c r="O2" t="str">
        <f>IF(OR(B2="",K2=""),"",((K2-B2)/B2)*100)</f>
        <v/>
      </c>
    </row>
    <row r="3" spans="1:15" x14ac:dyDescent="0.3">
      <c r="A3" t="s">
        <v>2</v>
      </c>
      <c r="E3">
        <v>109.1</v>
      </c>
      <c r="F3">
        <v>112.4</v>
      </c>
      <c r="H3">
        <v>118.4</v>
      </c>
      <c r="I3">
        <v>115.4</v>
      </c>
      <c r="J3">
        <v>117.7</v>
      </c>
      <c r="K3">
        <v>111.6</v>
      </c>
      <c r="L3">
        <f t="shared" si="0"/>
        <v>114.10000000000001</v>
      </c>
      <c r="M3">
        <f t="shared" si="1"/>
        <v>109.1</v>
      </c>
      <c r="N3">
        <f t="shared" si="2"/>
        <v>118.4</v>
      </c>
      <c r="O3" t="str">
        <f>IF(OR(B3="",K3=""),"",((K3-B3)/B3)*100)</f>
        <v/>
      </c>
    </row>
    <row r="4" spans="1:15" x14ac:dyDescent="0.3">
      <c r="A4" t="s">
        <v>3</v>
      </c>
      <c r="B4">
        <v>104</v>
      </c>
      <c r="C4">
        <v>102.5</v>
      </c>
      <c r="D4">
        <v>100.9</v>
      </c>
      <c r="E4">
        <v>99.7</v>
      </c>
      <c r="F4">
        <v>99.3</v>
      </c>
      <c r="G4">
        <v>98</v>
      </c>
      <c r="H4">
        <v>103.8</v>
      </c>
      <c r="I4">
        <v>103</v>
      </c>
      <c r="J4">
        <v>106.1</v>
      </c>
      <c r="L4">
        <f t="shared" si="0"/>
        <v>101.92222222222222</v>
      </c>
      <c r="M4">
        <f t="shared" si="1"/>
        <v>98</v>
      </c>
      <c r="N4">
        <f t="shared" si="2"/>
        <v>106.1</v>
      </c>
      <c r="O4" t="str">
        <f>IF(OR(B4="",K4=""),"",((K4-B4)/B4)*100)</f>
        <v/>
      </c>
    </row>
    <row r="5" spans="1:15" x14ac:dyDescent="0.3">
      <c r="A5" t="s">
        <v>4</v>
      </c>
      <c r="B5">
        <v>111.6</v>
      </c>
      <c r="C5">
        <v>112.9</v>
      </c>
      <c r="D5">
        <v>119.5</v>
      </c>
      <c r="E5">
        <v>117.9</v>
      </c>
      <c r="F5">
        <v>101.1</v>
      </c>
      <c r="G5">
        <v>99.5</v>
      </c>
      <c r="H5">
        <v>101.3</v>
      </c>
      <c r="I5">
        <v>102.3</v>
      </c>
      <c r="J5">
        <v>111.1</v>
      </c>
      <c r="K5">
        <v>112</v>
      </c>
      <c r="L5">
        <f t="shared" si="0"/>
        <v>108.91999999999999</v>
      </c>
      <c r="M5">
        <f t="shared" si="1"/>
        <v>99.5</v>
      </c>
      <c r="N5">
        <f t="shared" si="2"/>
        <v>119.5</v>
      </c>
      <c r="O5">
        <f>(K5-B5)/B5*100</f>
        <v>0.35842293906810546</v>
      </c>
    </row>
    <row r="6" spans="1:15" x14ac:dyDescent="0.3">
      <c r="A6" t="s">
        <v>5</v>
      </c>
      <c r="B6">
        <v>96.8</v>
      </c>
      <c r="C6">
        <v>99</v>
      </c>
      <c r="D6">
        <v>98.1</v>
      </c>
      <c r="E6">
        <v>96.9</v>
      </c>
      <c r="F6">
        <v>96.6</v>
      </c>
      <c r="G6">
        <v>97.1</v>
      </c>
      <c r="H6">
        <v>97.8</v>
      </c>
      <c r="J6">
        <v>95.4</v>
      </c>
      <c r="K6">
        <v>97.5</v>
      </c>
      <c r="L6">
        <f t="shared" si="0"/>
        <v>97.24444444444444</v>
      </c>
      <c r="M6">
        <f t="shared" si="1"/>
        <v>95.4</v>
      </c>
      <c r="N6">
        <f t="shared" si="2"/>
        <v>99</v>
      </c>
      <c r="O6">
        <f>(K6-B6)/B6*100</f>
        <v>0.72314049586777152</v>
      </c>
    </row>
    <row r="7" spans="1:15" x14ac:dyDescent="0.3">
      <c r="A7" t="s">
        <v>6</v>
      </c>
      <c r="B7">
        <v>141.9</v>
      </c>
      <c r="C7">
        <v>143</v>
      </c>
      <c r="D7">
        <v>143.4</v>
      </c>
      <c r="E7">
        <v>140.80000000000001</v>
      </c>
      <c r="G7">
        <v>136.69999999999999</v>
      </c>
      <c r="H7">
        <v>121.2</v>
      </c>
      <c r="I7">
        <v>118.3</v>
      </c>
      <c r="J7">
        <v>118.8</v>
      </c>
      <c r="K7">
        <v>123</v>
      </c>
      <c r="L7">
        <f t="shared" si="0"/>
        <v>131.89999999999998</v>
      </c>
      <c r="M7">
        <f t="shared" si="1"/>
        <v>118.3</v>
      </c>
      <c r="N7">
        <f t="shared" si="2"/>
        <v>143.4</v>
      </c>
      <c r="O7">
        <f>(K7-B7)/B7*100</f>
        <v>-13.319238900634254</v>
      </c>
    </row>
    <row r="8" spans="1:15" x14ac:dyDescent="0.3">
      <c r="A8" t="s">
        <v>7</v>
      </c>
      <c r="B8">
        <v>74.3</v>
      </c>
      <c r="C8">
        <v>74.8</v>
      </c>
      <c r="D8">
        <v>79.8</v>
      </c>
      <c r="E8">
        <v>78.8</v>
      </c>
      <c r="F8">
        <v>82</v>
      </c>
      <c r="G8">
        <v>83.2</v>
      </c>
      <c r="I8">
        <v>84.4</v>
      </c>
      <c r="J8">
        <v>82.7</v>
      </c>
      <c r="L8">
        <f t="shared" si="0"/>
        <v>80</v>
      </c>
      <c r="M8">
        <f t="shared" si="1"/>
        <v>74.3</v>
      </c>
      <c r="N8">
        <f t="shared" si="2"/>
        <v>84.4</v>
      </c>
      <c r="O8" t="str">
        <f>IF(OR(B2="",K2=""),"",((K2-B2)/B2)*100)</f>
        <v/>
      </c>
    </row>
    <row r="9" spans="1:15" x14ac:dyDescent="0.3">
      <c r="A9" t="s">
        <v>8</v>
      </c>
      <c r="B9">
        <v>97.4</v>
      </c>
      <c r="C9">
        <v>97.5</v>
      </c>
      <c r="D9">
        <v>97.5</v>
      </c>
      <c r="E9">
        <v>97.6</v>
      </c>
      <c r="F9">
        <v>97.3</v>
      </c>
      <c r="G9">
        <v>97.3</v>
      </c>
      <c r="H9">
        <v>97.5</v>
      </c>
      <c r="I9">
        <v>96.9</v>
      </c>
      <c r="J9">
        <v>95.9</v>
      </c>
      <c r="L9">
        <f t="shared" si="0"/>
        <v>97.211111111111109</v>
      </c>
      <c r="M9">
        <f t="shared" si="1"/>
        <v>95.9</v>
      </c>
      <c r="N9">
        <f t="shared" si="2"/>
        <v>97.6</v>
      </c>
      <c r="O9" t="str">
        <f>IF(OR(B3="",K3=""),"",((K3-B3)/B3)*100)</f>
        <v/>
      </c>
    </row>
    <row r="12" spans="1:15" x14ac:dyDescent="0.3">
      <c r="A12" s="2" t="s">
        <v>9</v>
      </c>
    </row>
  </sheetData>
  <phoneticPr fontId="3" type="noConversion"/>
  <pageMargins left="0.7" right="0.7" top="0.75" bottom="0.75" header="0.3" footer="0.3"/>
  <headerFooter>
    <oddFooter>&amp;R_x000D_&amp;1#&amp;"Aptos"&amp;10&amp;K000000 Official Use Only</oddFooter>
  </headerFooter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27DCFD62-0FD2-4115-ABFB-05280BBDCBBA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'Country Data'!O17:O17</xm:f>
              <xm:sqref>P13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B67DEE85752748A2FA32AFE80B0CB9" ma:contentTypeVersion="18" ma:contentTypeDescription="Create a new document." ma:contentTypeScope="" ma:versionID="7faff0db1814ae619faac97405dead82">
  <xsd:schema xmlns:xsd="http://www.w3.org/2001/XMLSchema" xmlns:xs="http://www.w3.org/2001/XMLSchema" xmlns:p="http://schemas.microsoft.com/office/2006/metadata/properties" xmlns:ns1="http://schemas.microsoft.com/sharepoint/v3" xmlns:ns2="f3a364aa-5001-40c5-a75d-d40f617f72d3" xmlns:ns3="3709e45d-35e4-4fe0-8bfe-5b23fcbe67f6" targetNamespace="http://schemas.microsoft.com/office/2006/metadata/properties" ma:root="true" ma:fieldsID="dfdcf634f4b83141756b0f28ef757e6b" ns1:_="" ns2:_="" ns3:_="">
    <xsd:import namespace="http://schemas.microsoft.com/sharepoint/v3"/>
    <xsd:import namespace="f3a364aa-5001-40c5-a75d-d40f617f72d3"/>
    <xsd:import namespace="3709e45d-35e4-4fe0-8bfe-5b23fcbe67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a364aa-5001-40c5-a75d-d40f617f72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09e45d-35e4-4fe0-8bfe-5b23fcbe67f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8bf4746-318a-43c4-b879-a8bb21239ac1}" ma:internalName="TaxCatchAll" ma:showField="CatchAllData" ma:web="3709e45d-35e4-4fe0-8bfe-5b23fcbe67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3709e45d-35e4-4fe0-8bfe-5b23fcbe67f6" xsi:nil="true"/>
    <lcf76f155ced4ddcb4097134ff3c332f xmlns="f3a364aa-5001-40c5-a75d-d40f617f72d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8298D4-079C-49EF-B841-0DD06C8F01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3a364aa-5001-40c5-a75d-d40f617f72d3"/>
    <ds:schemaRef ds:uri="3709e45d-35e4-4fe0-8bfe-5b23fcbe67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509EF2-6B22-48AC-89CD-9AF8457A750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709e45d-35e4-4fe0-8bfe-5b23fcbe67f6"/>
    <ds:schemaRef ds:uri="f3a364aa-5001-40c5-a75d-d40f617f72d3"/>
  </ds:schemaRefs>
</ds:datastoreItem>
</file>

<file path=customXml/itemProps3.xml><?xml version="1.0" encoding="utf-8"?>
<ds:datastoreItem xmlns:ds="http://schemas.openxmlformats.org/officeDocument/2006/customXml" ds:itemID="{ADF382E0-0821-4657-9EAC-DD0AD57D45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Ogbeche michael</cp:lastModifiedBy>
  <cp:revision/>
  <dcterms:created xsi:type="dcterms:W3CDTF">2026-03-24T18:32:48Z</dcterms:created>
  <dcterms:modified xsi:type="dcterms:W3CDTF">2026-10-27T14:25:16Z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0x01010026B67DEE85752748A2FA32AFE80B0CB9</vt:lpwstr>
  </property>
  <property fmtid="{D5CDD505-2E9C-101B-9397-08002B2CF9AE}" pid="3" name="MSIP_Label_f1bf45b6-5649-4236-82a3-f45024cd282e_Enabled">
    <vt:lpwstr>true</vt:lpwstr>
  </property>
  <property fmtid="{D5CDD505-2E9C-101B-9397-08002B2CF9AE}" pid="4" name="MSIP_Label_f1bf45b6-5649-4236-82a3-f45024cd282e_SetDate">
    <vt:lpwstr>2026-03-24T18:33:00Z</vt:lpwstr>
  </property>
  <property fmtid="{D5CDD505-2E9C-101B-9397-08002B2CF9AE}" pid="5" name="MSIP_Label_f1bf45b6-5649-4236-82a3-f45024cd282e_Method">
    <vt:lpwstr>Standard</vt:lpwstr>
  </property>
  <property fmtid="{D5CDD505-2E9C-101B-9397-08002B2CF9AE}" pid="6" name="MSIP_Label_f1bf45b6-5649-4236-82a3-f45024cd282e_Name">
    <vt:lpwstr>Official Use Only</vt:lpwstr>
  </property>
  <property fmtid="{D5CDD505-2E9C-101B-9397-08002B2CF9AE}" pid="7" name="MSIP_Label_f1bf45b6-5649-4236-82a3-f45024cd282e_SiteId">
    <vt:lpwstr>31a2fec0-266b-4c67-b56e-2796d8f59c36</vt:lpwstr>
  </property>
  <property fmtid="{D5CDD505-2E9C-101B-9397-08002B2CF9AE}" pid="8" name="MSIP_Label_f1bf45b6-5649-4236-82a3-f45024cd282e_ActionId">
    <vt:lpwstr>4c5a0d97-3e37-4d21-98c9-7ea3ae41e4df</vt:lpwstr>
  </property>
  <property fmtid="{D5CDD505-2E9C-101B-9397-08002B2CF9AE}" pid="9" name="MSIP_Label_f1bf45b6-5649-4236-82a3-f45024cd282e_ContentBits">
    <vt:lpwstr>2</vt:lpwstr>
  </property>
  <property fmtid="{D5CDD505-2E9C-101B-9397-08002B2CF9AE}" pid="10" name="MSIP_Label_f1bf45b6-5649-4236-82a3-f45024cd282e_Tag">
    <vt:lpwstr>10, 3, 0, 2</vt:lpwstr>
  </property>
  <property fmtid="{D5CDD505-2E9C-101B-9397-08002B2CF9AE}" pid="11" name="MediaServiceImageTags">
    <vt:lpwstr/>
  </property>
</Properties>
</file>