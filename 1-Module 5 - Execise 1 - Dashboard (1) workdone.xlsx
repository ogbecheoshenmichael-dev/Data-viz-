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0B4DE1576653A256/Documents/"/>
    </mc:Choice>
  </mc:AlternateContent>
  <xr:revisionPtr revIDLastSave="329" documentId="8_{3EE92200-195E-4973-9CC8-16DE83AE0CAC}" xr6:coauthVersionLast="47" xr6:coauthVersionMax="47" xr10:uidLastSave="{6EBC5423-3140-4059-A617-4FE490558FD6}"/>
  <bookViews>
    <workbookView xWindow="-108" yWindow="-108" windowWidth="23256" windowHeight="12456" xr2:uid="{292D2C8F-E18A-482F-9FCE-A623B24EE02F}"/>
  </bookViews>
  <sheets>
    <sheet name="Dashboard" sheetId="7" r:id="rId1"/>
    <sheet name="4A. Figure A" sheetId="4" r:id="rId2"/>
    <sheet name="4B. Figure B " sheetId="5" r:id="rId3"/>
    <sheet name="4C. Figure C " sheetId="6" r:id="rId4"/>
    <sheet name="Back End&gt;&gt;" sheetId="3" r:id="rId5"/>
    <sheet name="Pivot tables" sheetId="10" r:id="rId6"/>
    <sheet name="Pivot fig 4A" sheetId="12" r:id="rId7"/>
    <sheet name="Pivot 4B" sheetId="13" r:id="rId8"/>
    <sheet name="Pivot 4C" sheetId="14" r:id="rId9"/>
    <sheet name="Combined Data" sheetId="2" r:id="rId10"/>
    <sheet name="Region &amp; Income Labels" sheetId="9" r:id="rId11"/>
    <sheet name="Sheet1" sheetId="11" r:id="rId12"/>
    <sheet name="Raw Data" sheetId="8" r:id="rId13"/>
  </sheets>
  <definedNames>
    <definedName name="_xlnm._FilterDatabase" localSheetId="3" hidden="1">'4C. Figure C '!#REF!</definedName>
    <definedName name="_xlnm._FilterDatabase" localSheetId="12" hidden="1">'Raw Data'!$A$4:$BR$4</definedName>
    <definedName name="Slicer_Income_Level1">#N/A</definedName>
    <definedName name="Slicer_Region">#N/A</definedName>
  </definedNames>
  <calcPr calcId="191028"/>
  <pivotCaches>
    <pivotCache cacheId="11" r:id="rId14"/>
    <pivotCache cacheId="6"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alcChain>
</file>

<file path=xl/sharedStrings.xml><?xml version="1.0" encoding="utf-8"?>
<sst xmlns="http://schemas.openxmlformats.org/spreadsheetml/2006/main" count="2517" uniqueCount="635">
  <si>
    <t>A. A column chart showing the average of the indicator across the years</t>
  </si>
  <si>
    <t>B. A  bar chart across regions, showing the average primary school enrollment in 2024</t>
  </si>
  <si>
    <t>C. Clustured Column for hypothetical indicator</t>
  </si>
  <si>
    <t xml:space="preserve">Figure 4A </t>
  </si>
  <si>
    <t>Row Labels</t>
  </si>
  <si>
    <t>Average of 2024</t>
  </si>
  <si>
    <t>Average of 2023</t>
  </si>
  <si>
    <t>Average of 2022</t>
  </si>
  <si>
    <t>Average of 2021</t>
  </si>
  <si>
    <t>High income</t>
  </si>
  <si>
    <t>Low income</t>
  </si>
  <si>
    <t>Lower middle income</t>
  </si>
  <si>
    <t>Upper middle income</t>
  </si>
  <si>
    <t>Grand Total</t>
  </si>
  <si>
    <t>Figure 4B</t>
  </si>
  <si>
    <t>Income Level</t>
  </si>
  <si>
    <t>(All)</t>
  </si>
  <si>
    <t>East Asia &amp; Pacific</t>
  </si>
  <si>
    <t>Europe &amp; Central Asia</t>
  </si>
  <si>
    <t>Latin America &amp; Caribbean</t>
  </si>
  <si>
    <t>Middle East, North Africa, Afghanistan &amp; Pakistan</t>
  </si>
  <si>
    <t>North America</t>
  </si>
  <si>
    <t>South Asia</t>
  </si>
  <si>
    <t>Sub-Saharan Africa</t>
  </si>
  <si>
    <t>Figure 4C</t>
  </si>
  <si>
    <t>Column Labels</t>
  </si>
  <si>
    <t>Values</t>
  </si>
  <si>
    <t>A</t>
  </si>
  <si>
    <t>B</t>
  </si>
  <si>
    <t>C</t>
  </si>
  <si>
    <t>Country Name</t>
  </si>
  <si>
    <t>2020</t>
  </si>
  <si>
    <t>2021</t>
  </si>
  <si>
    <t>2022</t>
  </si>
  <si>
    <t>2023</t>
  </si>
  <si>
    <t>2024</t>
  </si>
  <si>
    <t>Region</t>
  </si>
  <si>
    <t>Hypothetical Metric</t>
  </si>
  <si>
    <t>Afghanistan</t>
  </si>
  <si>
    <t>Albania</t>
  </si>
  <si>
    <t>Algeria</t>
  </si>
  <si>
    <t>American Samoa</t>
  </si>
  <si>
    <t>Andorra</t>
  </si>
  <si>
    <t>Angola</t>
  </si>
  <si>
    <t>Antigua and Barbuda</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</si>
  <si>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</si>
  <si>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</si>
  <si>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</si>
  <si>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</si>
  <si>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</si>
  <si>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</si>
  <si>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</si>
  <si>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</si>
  <si>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</si>
  <si>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</si>
  <si>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</si>
  <si>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</si>
  <si>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</si>
  <si>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</si>
  <si>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</si>
  <si>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</si>
  <si>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</si>
  <si>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</si>
  <si>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</si>
  <si>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</si>
  <si>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</si>
  <si>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</si>
  <si>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</si>
  <si>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</si>
  <si>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</si>
  <si>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Cabo Verde</t>
  </si>
  <si>
    <t>Cambodia</t>
  </si>
  <si>
    <t>Cameroon</t>
  </si>
  <si>
    <t>Canada</t>
  </si>
  <si>
    <t>Cayman Islands</t>
  </si>
  <si>
    <t>Central African Republic</t>
  </si>
  <si>
    <t>Chad</t>
  </si>
  <si>
    <t>Channel Islands</t>
  </si>
  <si>
    <t>Chile</t>
  </si>
  <si>
    <t>China</t>
  </si>
  <si>
    <t>Colombia</t>
  </si>
  <si>
    <t>Comoros</t>
  </si>
  <si>
    <t>Congo, Dem. Rep.</t>
  </si>
  <si>
    <t>Congo, Rep.</t>
  </si>
  <si>
    <t>Costa Rica</t>
  </si>
  <si>
    <t>Cote d'Ivoire</t>
  </si>
  <si>
    <t>Croatia</t>
  </si>
  <si>
    <t>Cuba</t>
  </si>
  <si>
    <t>Curacao</t>
  </si>
  <si>
    <t>Cyprus</t>
  </si>
  <si>
    <t>Czechia</t>
  </si>
  <si>
    <t>Denmark</t>
  </si>
  <si>
    <t>Djibouti</t>
  </si>
  <si>
    <t>Dominica</t>
  </si>
  <si>
    <t>Dominican Republic</t>
  </si>
  <si>
    <t>Ecuador</t>
  </si>
  <si>
    <t>Egypt, Arab Rep.</t>
  </si>
  <si>
    <t>El Salvador</t>
  </si>
  <si>
    <t>Equatorial Guinea</t>
  </si>
  <si>
    <t>Eritrea</t>
  </si>
  <si>
    <t>Estonia</t>
  </si>
  <si>
    <t>Eswatini</t>
  </si>
  <si>
    <t>Ethiopia</t>
  </si>
  <si>
    <t>Faroe Islands</t>
  </si>
  <si>
    <t>Fiji</t>
  </si>
  <si>
    <t>Finland</t>
  </si>
  <si>
    <t>France</t>
  </si>
  <si>
    <t>French Polynesia</t>
  </si>
  <si>
    <t>Gabon</t>
  </si>
  <si>
    <t>Gambia, The</t>
  </si>
  <si>
    <t>Georgia</t>
  </si>
  <si>
    <t>Germany</t>
  </si>
  <si>
    <t>Ghana</t>
  </si>
  <si>
    <t>Gibraltar</t>
  </si>
  <si>
    <t>Greece</t>
  </si>
  <si>
    <t>Greenland</t>
  </si>
  <si>
    <t>Grenada</t>
  </si>
  <si>
    <t>Guam</t>
  </si>
  <si>
    <t>Guatemala</t>
  </si>
  <si>
    <t>Guinea</t>
  </si>
  <si>
    <t>Guinea-Bissau</t>
  </si>
  <si>
    <t>Guyana</t>
  </si>
  <si>
    <t>Haiti</t>
  </si>
  <si>
    <t>Honduras</t>
  </si>
  <si>
    <t>Hong Kong SAR, China</t>
  </si>
  <si>
    <t>Hungary</t>
  </si>
  <si>
    <t>Iceland</t>
  </si>
  <si>
    <t>India</t>
  </si>
  <si>
    <t>Indonesia</t>
  </si>
  <si>
    <t>Iran, Islamic Rep.</t>
  </si>
  <si>
    <t>Iraq</t>
  </si>
  <si>
    <t>Ireland</t>
  </si>
  <si>
    <t>Isle of Man</t>
  </si>
  <si>
    <t>Israel</t>
  </si>
  <si>
    <t>Italy</t>
  </si>
  <si>
    <t>Jamaica</t>
  </si>
  <si>
    <t>Japan</t>
  </si>
  <si>
    <t>Jordan</t>
  </si>
  <si>
    <t>Kazakhstan</t>
  </si>
  <si>
    <t>Kenya</t>
  </si>
  <si>
    <t>Kiribati</t>
  </si>
  <si>
    <t>Korea, Dem. People's Rep.</t>
  </si>
  <si>
    <t>Korea, Rep.</t>
  </si>
  <si>
    <t>Kosovo</t>
  </si>
  <si>
    <t>Kuwait</t>
  </si>
  <si>
    <t>Kyrgyz Republic</t>
  </si>
  <si>
    <t>Lao PDR</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</si>
  <si>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</si>
  <si>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</si>
  <si>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</si>
  <si>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</si>
  <si>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</si>
  <si>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</si>
  <si>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</si>
  <si>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</si>
  <si>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</si>
  <si>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</si>
  <si>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</si>
  <si>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</si>
  <si>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</si>
  <si>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</si>
  <si>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</si>
  <si>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t>
  </si>
  <si>
    <t>Mauritania</t>
  </si>
  <si>
    <t>Mauritius</t>
  </si>
  <si>
    <t>Mexico</t>
  </si>
  <si>
    <t>Micronesia, Fed. Sts.</t>
  </si>
  <si>
    <t>Moldova</t>
  </si>
  <si>
    <t>Monaco</t>
  </si>
  <si>
    <t>Mongolia</t>
  </si>
  <si>
    <t>Montenegro</t>
  </si>
  <si>
    <t>Morocco</t>
  </si>
  <si>
    <t>Mozambique</t>
  </si>
  <si>
    <t>Myanmar</t>
  </si>
  <si>
    <t>Namibia</t>
  </si>
  <si>
    <t>Nauru</t>
  </si>
  <si>
    <t>Nepal</t>
  </si>
  <si>
    <t>Netherlands</t>
  </si>
  <si>
    <t>New Caledonia</t>
  </si>
  <si>
    <t>New Zealand</t>
  </si>
  <si>
    <t>Nicaragua</t>
  </si>
  <si>
    <t>Niger</t>
  </si>
  <si>
    <t>Nigeria</t>
  </si>
  <si>
    <t>North Macedonia</t>
  </si>
  <si>
    <t>Northern Mariana Islands</t>
  </si>
  <si>
    <t>Norway</t>
  </si>
  <si>
    <t>Oman</t>
  </si>
  <si>
    <t>Pakistan</t>
  </si>
  <si>
    <t>Palau</t>
  </si>
  <si>
    <t>Panama</t>
  </si>
  <si>
    <t>Papua New Guinea</t>
  </si>
  <si>
    <t>Paraguay</t>
  </si>
  <si>
    <t>Peru</t>
  </si>
  <si>
    <t>Philippines</t>
  </si>
  <si>
    <t>Poland</t>
  </si>
  <si>
    <t>Portugal</t>
  </si>
  <si>
    <t>Qatar</t>
  </si>
  <si>
    <t>Romania</t>
  </si>
  <si>
    <t>Russian Federation</t>
  </si>
  <si>
    <t>Rwanda</t>
  </si>
  <si>
    <t>Samoa</t>
  </si>
  <si>
    <t>San Marino</t>
  </si>
  <si>
    <t>Sao Tome and Principe</t>
  </si>
  <si>
    <t>Saudi Arabia</t>
  </si>
  <si>
    <t>Senegal</t>
  </si>
  <si>
    <t>Serbia</t>
  </si>
  <si>
    <t>Seychelles</t>
  </si>
  <si>
    <t>Sierra Leone</t>
  </si>
  <si>
    <t>Singapore</t>
  </si>
  <si>
    <t>Sint Maarten (Dutch part)</t>
  </si>
  <si>
    <t>Slovak Republic</t>
  </si>
  <si>
    <t>Slovenia</t>
  </si>
  <si>
    <t>Solomon Islands</t>
  </si>
  <si>
    <t>Somalia</t>
  </si>
  <si>
    <t>South Sudan</t>
  </si>
  <si>
    <t>Spain</t>
  </si>
  <si>
    <t>Sri Lanka</t>
  </si>
  <si>
    <t>St. Kitts and Nevis</t>
  </si>
  <si>
    <t>St. Lucia</t>
  </si>
  <si>
    <t>St. Martin (French part)</t>
  </si>
  <si>
    <t>St. Vincent and the Grenadines</t>
  </si>
  <si>
    <t>Sudan</t>
  </si>
  <si>
    <t>Suriname</t>
  </si>
  <si>
    <t>Sweden</t>
  </si>
  <si>
    <t>Switzerland</t>
  </si>
  <si>
    <t>Syrian Arab Republic</t>
  </si>
  <si>
    <t>Tajikistan</t>
  </si>
  <si>
    <t>Tanzania</t>
  </si>
  <si>
    <t>Thailand</t>
  </si>
  <si>
    <t>Timor-Leste</t>
  </si>
  <si>
    <t>Togo</t>
  </si>
  <si>
    <t>Tonga</t>
  </si>
  <si>
    <t>Trinidad and Tobago</t>
  </si>
  <si>
    <t>Tunisia</t>
  </si>
  <si>
    <t>Turkiye</t>
  </si>
  <si>
    <t>Turkmenistan</t>
  </si>
  <si>
    <t>Turks and Caicos Islands</t>
  </si>
  <si>
    <t>Tuvalu</t>
  </si>
  <si>
    <t>Uganda</t>
  </si>
  <si>
    <t>Ukraine</t>
  </si>
  <si>
    <t>United Arab Emirates</t>
  </si>
  <si>
    <t>United Kingdom</t>
  </si>
  <si>
    <t>United States</t>
  </si>
  <si>
    <t>Uruguay</t>
  </si>
  <si>
    <t>Uzbekistan</t>
  </si>
  <si>
    <t>Vanuatu</t>
  </si>
  <si>
    <t>Venezuela, RB</t>
  </si>
  <si>
    <t>Viet Nam</t>
  </si>
  <si>
    <t>Virgin Islands (U.S.)</t>
  </si>
  <si>
    <t>West Bank and Gaza</t>
  </si>
  <si>
    <t>Yemen, Rep.</t>
  </si>
  <si>
    <t>Zambia</t>
  </si>
  <si>
    <t>Zimbabwe</t>
  </si>
  <si>
    <t>Economy</t>
  </si>
  <si>
    <t>Code</t>
  </si>
  <si>
    <t>Income group</t>
  </si>
  <si>
    <t>AFG</t>
  </si>
  <si>
    <t>ALB</t>
  </si>
  <si>
    <t>DZA</t>
  </si>
  <si>
    <t>ASM</t>
  </si>
  <si>
    <t>AND</t>
  </si>
  <si>
    <t>AGO</t>
  </si>
  <si>
    <t>ATG</t>
  </si>
  <si>
    <t>ARG</t>
  </si>
  <si>
    <t>ARM</t>
  </si>
  <si>
    <t>ABW</t>
  </si>
  <si>
    <t>AUS</t>
  </si>
  <si>
    <t>AUT</t>
  </si>
  <si>
    <t>AZE</t>
  </si>
  <si>
    <t>BHS</t>
  </si>
  <si>
    <t>BHR</t>
  </si>
  <si>
    <t>BGD</t>
  </si>
  <si>
    <t>BRB</t>
  </si>
  <si>
    <t>BLR</t>
  </si>
  <si>
    <t>BEL</t>
  </si>
  <si>
    <t>BLZ</t>
  </si>
  <si>
    <t>BEN</t>
  </si>
  <si>
    <t>BMU</t>
  </si>
  <si>
    <t>BTN</t>
  </si>
  <si>
    <t>BOL</t>
  </si>
  <si>
    <t>BIH</t>
  </si>
  <si>
    <t>BWA</t>
  </si>
  <si>
    <t>BRA</t>
  </si>
  <si>
    <t>VGB</t>
  </si>
  <si>
    <t>BRN</t>
  </si>
  <si>
    <t>BGR</t>
  </si>
  <si>
    <t>BFA</t>
  </si>
  <si>
    <t>BDI</t>
  </si>
  <si>
    <t>CPV</t>
  </si>
  <si>
    <t>KHM</t>
  </si>
  <si>
    <t>CMR</t>
  </si>
  <si>
    <t>CAN</t>
  </si>
  <si>
    <t>CYM</t>
  </si>
  <si>
    <t>CAF</t>
  </si>
  <si>
    <t>TCD</t>
  </si>
  <si>
    <t>CHI</t>
  </si>
  <si>
    <t>CHL</t>
  </si>
  <si>
    <t>CHN</t>
  </si>
  <si>
    <t>COL</t>
  </si>
  <si>
    <t>COM</t>
  </si>
  <si>
    <t>COD</t>
  </si>
  <si>
    <t>COG</t>
  </si>
  <si>
    <t>CRI</t>
  </si>
  <si>
    <t>CIV</t>
  </si>
  <si>
    <t>HRV</t>
  </si>
  <si>
    <t>CUB</t>
  </si>
  <si>
    <t>CUW</t>
  </si>
  <si>
    <t>CYP</t>
  </si>
  <si>
    <t>CZE</t>
  </si>
  <si>
    <t>DNK</t>
  </si>
  <si>
    <t>DJI</t>
  </si>
  <si>
    <t>DMA</t>
  </si>
  <si>
    <t>DOM</t>
  </si>
  <si>
    <t>ECU</t>
  </si>
  <si>
    <t>EGY</t>
  </si>
  <si>
    <t>SLV</t>
  </si>
  <si>
    <t>GNQ</t>
  </si>
  <si>
    <t>ERI</t>
  </si>
  <si>
    <t>EST</t>
  </si>
  <si>
    <t>SWZ</t>
  </si>
  <si>
    <t>ETH</t>
  </si>
  <si>
    <t>FRO</t>
  </si>
  <si>
    <t>FJI</t>
  </si>
  <si>
    <t>FIN</t>
  </si>
  <si>
    <t>FRA</t>
  </si>
  <si>
    <t>PYF</t>
  </si>
  <si>
    <t>GAB</t>
  </si>
  <si>
    <t>GMB</t>
  </si>
  <si>
    <t>GEO</t>
  </si>
  <si>
    <t>DEU</t>
  </si>
  <si>
    <t>GHA</t>
  </si>
  <si>
    <t>GIB</t>
  </si>
  <si>
    <t>GRC</t>
  </si>
  <si>
    <t>GRL</t>
  </si>
  <si>
    <t>GRD</t>
  </si>
  <si>
    <t>GUM</t>
  </si>
  <si>
    <t>GTM</t>
  </si>
  <si>
    <t>GIN</t>
  </si>
  <si>
    <t>GNB</t>
  </si>
  <si>
    <t>GUY</t>
  </si>
  <si>
    <t>HTI</t>
  </si>
  <si>
    <t>HND</t>
  </si>
  <si>
    <t>HKG</t>
  </si>
  <si>
    <t>HUN</t>
  </si>
  <si>
    <t>ISL</t>
  </si>
  <si>
    <t>IND</t>
  </si>
  <si>
    <t>IDN</t>
  </si>
  <si>
    <t>IRN</t>
  </si>
  <si>
    <t>IRQ</t>
  </si>
  <si>
    <t>IRL</t>
  </si>
  <si>
    <t>IMN</t>
  </si>
  <si>
    <t>ISR</t>
  </si>
  <si>
    <t>ITA</t>
  </si>
  <si>
    <t>JAM</t>
  </si>
  <si>
    <t>JPN</t>
  </si>
  <si>
    <t>JOR</t>
  </si>
  <si>
    <t>KAZ</t>
  </si>
  <si>
    <t>KEN</t>
  </si>
  <si>
    <t>KIR</t>
  </si>
  <si>
    <t>PRK</t>
  </si>
  <si>
    <t>KOR</t>
  </si>
  <si>
    <t>XKX</t>
  </si>
  <si>
    <t>KWT</t>
  </si>
  <si>
    <t>KGZ</t>
  </si>
  <si>
    <t>LAO</t>
  </si>
  <si>
    <t>LVA</t>
  </si>
  <si>
    <t>LBN</t>
  </si>
  <si>
    <t>LSO</t>
  </si>
  <si>
    <t>LBR</t>
  </si>
  <si>
    <t>LBY</t>
  </si>
  <si>
    <t>LIE</t>
  </si>
  <si>
    <t>LTU</t>
  </si>
  <si>
    <t>LUX</t>
  </si>
  <si>
    <t>MAC</t>
  </si>
  <si>
    <t>MDG</t>
  </si>
  <si>
    <t>MWI</t>
  </si>
  <si>
    <t>MYS</t>
  </si>
  <si>
    <t>MDV</t>
  </si>
  <si>
    <t>MLI</t>
  </si>
  <si>
    <t>MLT</t>
  </si>
  <si>
    <t>MHL</t>
  </si>
  <si>
    <t>MRT</t>
  </si>
  <si>
    <t>MUS</t>
  </si>
  <si>
    <t>MEX</t>
  </si>
  <si>
    <t>FSM</t>
  </si>
  <si>
    <t>MDA</t>
  </si>
  <si>
    <t>MCO</t>
  </si>
  <si>
    <t>MNG</t>
  </si>
  <si>
    <t>MNE</t>
  </si>
  <si>
    <t>MAR</t>
  </si>
  <si>
    <t>MOZ</t>
  </si>
  <si>
    <t>MMR</t>
  </si>
  <si>
    <t>NAM</t>
  </si>
  <si>
    <t>NRU</t>
  </si>
  <si>
    <t>NPL</t>
  </si>
  <si>
    <t>NLD</t>
  </si>
  <si>
    <t>NCL</t>
  </si>
  <si>
    <t>NZL</t>
  </si>
  <si>
    <t>NIC</t>
  </si>
  <si>
    <t>NER</t>
  </si>
  <si>
    <t>NGA</t>
  </si>
  <si>
    <t>MKD</t>
  </si>
  <si>
    <t>MNP</t>
  </si>
  <si>
    <t>NOR</t>
  </si>
  <si>
    <t>OMN</t>
  </si>
  <si>
    <t>PAK</t>
  </si>
  <si>
    <t>PLW</t>
  </si>
  <si>
    <t>PAN</t>
  </si>
  <si>
    <t>PNG</t>
  </si>
  <si>
    <t>PRY</t>
  </si>
  <si>
    <t>PER</t>
  </si>
  <si>
    <t>PHL</t>
  </si>
  <si>
    <t>POL</t>
  </si>
  <si>
    <t>PRT</t>
  </si>
  <si>
    <t>Puerto Rico (U.S.)</t>
  </si>
  <si>
    <t>PRI</t>
  </si>
  <si>
    <t>QAT</t>
  </si>
  <si>
    <t>ROU</t>
  </si>
  <si>
    <t>RUS</t>
  </si>
  <si>
    <t>RWA</t>
  </si>
  <si>
    <t>WSM</t>
  </si>
  <si>
    <t>SMR</t>
  </si>
  <si>
    <t>STP</t>
  </si>
  <si>
    <t>SAU</t>
  </si>
  <si>
    <t>SEN</t>
  </si>
  <si>
    <t>SRB</t>
  </si>
  <si>
    <t>SYC</t>
  </si>
  <si>
    <t>SLE</t>
  </si>
  <si>
    <t>SGP</t>
  </si>
  <si>
    <t>SXM</t>
  </si>
  <si>
    <t>SVK</t>
  </si>
  <si>
    <t>SVN</t>
  </si>
  <si>
    <t>SLB</t>
  </si>
  <si>
    <t>SOM</t>
  </si>
  <si>
    <t>South Africa</t>
  </si>
  <si>
    <t>ZAF</t>
  </si>
  <si>
    <t>SSD</t>
  </si>
  <si>
    <t>ESP</t>
  </si>
  <si>
    <t>LKA</t>
  </si>
  <si>
    <t>KNA</t>
  </si>
  <si>
    <t>LCA</t>
  </si>
  <si>
    <t>MAF</t>
  </si>
  <si>
    <t>VCT</t>
  </si>
  <si>
    <t>SDN</t>
  </si>
  <si>
    <t>SUR</t>
  </si>
  <si>
    <t>SWE</t>
  </si>
  <si>
    <t>CHE</t>
  </si>
  <si>
    <t>SYR</t>
  </si>
  <si>
    <t>Taiwan, China</t>
  </si>
  <si>
    <t>TWN</t>
  </si>
  <si>
    <t>TJK</t>
  </si>
  <si>
    <t>TZA</t>
  </si>
  <si>
    <t>THA</t>
  </si>
  <si>
    <t>TLS</t>
  </si>
  <si>
    <t>TGO</t>
  </si>
  <si>
    <t>TON</t>
  </si>
  <si>
    <t>TTO</t>
  </si>
  <si>
    <t>TUN</t>
  </si>
  <si>
    <t>TUR</t>
  </si>
  <si>
    <t>TKM</t>
  </si>
  <si>
    <t>TCA</t>
  </si>
  <si>
    <t>TUV</t>
  </si>
  <si>
    <t>UGA</t>
  </si>
  <si>
    <t>UKR</t>
  </si>
  <si>
    <t>ARE</t>
  </si>
  <si>
    <t>GBR</t>
  </si>
  <si>
    <t>USA</t>
  </si>
  <si>
    <t>URY</t>
  </si>
  <si>
    <t>UZB</t>
  </si>
  <si>
    <t>VUT</t>
  </si>
  <si>
    <t>VEN</t>
  </si>
  <si>
    <t>VNM</t>
  </si>
  <si>
    <t>VIR</t>
  </si>
  <si>
    <t>PSE</t>
  </si>
  <si>
    <t>YEM</t>
  </si>
  <si>
    <t>ZMB</t>
  </si>
  <si>
    <t>ZWE</t>
  </si>
  <si>
    <t>Data Source</t>
  </si>
  <si>
    <t>World Development Indicators</t>
  </si>
  <si>
    <t>Last Updated Date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</si>
  <si>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</si>
  <si>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</si>
  <si>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</si>
  <si>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</si>
  <si>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</si>
  <si>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</si>
  <si>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</si>
  <si>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</si>
  <si>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</si>
  <si>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</si>
  <si>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</si>
  <si>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</si>
  <si>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</si>
  <si>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</si>
  <si>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</si>
  <si>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</si>
  <si>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</si>
  <si>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</si>
  <si>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</si>
  <si>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</si>
  <si>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</si>
  <si>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</si>
  <si>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</si>
  <si>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</si>
  <si>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</si>
  <si>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</si>
  <si>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</si>
  <si>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</si>
  <si>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</si>
  <si>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</si>
  <si>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</si>
  <si>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</si>
  <si>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</si>
  <si>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</si>
  <si>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</si>
  <si>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</si>
  <si>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</si>
  <si>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</si>
  <si>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</si>
  <si>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</si>
  <si>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</si>
  <si>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</si>
  <si>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</si>
  <si>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</si>
  <si>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</si>
  <si>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</si>
  <si>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</si>
  <si>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</si>
  <si>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</si>
  <si>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</si>
  <si>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</si>
  <si>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</si>
  <si>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</si>
  <si>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</si>
  <si>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</si>
  <si>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</si>
  <si>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</si>
  <si>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</si>
  <si>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</si>
  <si>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</si>
  <si>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</si>
  <si>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</si>
  <si>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</si>
  <si>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2025</t>
  </si>
  <si>
    <t>School enrollment, primary (% gross)</t>
  </si>
  <si>
    <t>SE.PRM.ENRR</t>
  </si>
  <si>
    <t>Africa Eastern and Southern</t>
  </si>
  <si>
    <t>AFE</t>
  </si>
  <si>
    <t>Africa Western and Central</t>
  </si>
  <si>
    <t>AFW</t>
  </si>
  <si>
    <t>Arab World</t>
  </si>
  <si>
    <t>ARB</t>
  </si>
  <si>
    <t>Central Europe and the Baltics</t>
  </si>
  <si>
    <t>CEB</t>
  </si>
  <si>
    <t>Caribbean small states</t>
  </si>
  <si>
    <t>CSS</t>
  </si>
  <si>
    <t>East Asia &amp; Pacific (excluding high income)</t>
  </si>
  <si>
    <t>EAP</t>
  </si>
  <si>
    <t>Early-demographic dividend</t>
  </si>
  <si>
    <t>EAR</t>
  </si>
  <si>
    <t>EAS</t>
  </si>
  <si>
    <t>Europe &amp; Central Asia (excluding high income)</t>
  </si>
  <si>
    <t>ECA</t>
  </si>
  <si>
    <t>ECS</t>
  </si>
  <si>
    <t>Euro area</t>
  </si>
  <si>
    <t>EMU</t>
  </si>
  <si>
    <t>European Union</t>
  </si>
  <si>
    <t>EUU</t>
  </si>
  <si>
    <t>Fragile and conflict affected situations</t>
  </si>
  <si>
    <t>FCS</t>
  </si>
  <si>
    <t>HIC</t>
  </si>
  <si>
    <t>Heavily indebted poor countries (HIPC)</t>
  </si>
  <si>
    <t>HPC</t>
  </si>
  <si>
    <t>IBRD only</t>
  </si>
  <si>
    <t>IBD</t>
  </si>
  <si>
    <t>IDA &amp; IBRD total</t>
  </si>
  <si>
    <t>IBT</t>
  </si>
  <si>
    <t>IDA total</t>
  </si>
  <si>
    <t>IDA</t>
  </si>
  <si>
    <t>IDA blend</t>
  </si>
  <si>
    <t>IDB</t>
  </si>
  <si>
    <t>IDA only</t>
  </si>
  <si>
    <t>IDX</t>
  </si>
  <si>
    <t>Not classified</t>
  </si>
  <si>
    <t>INX</t>
  </si>
  <si>
    <t>Latin America &amp; Caribbean (excluding high income)</t>
  </si>
  <si>
    <t>LAC</t>
  </si>
  <si>
    <t>LCN</t>
  </si>
  <si>
    <t>Least developed countries: UN classification</t>
  </si>
  <si>
    <t>LDC</t>
  </si>
  <si>
    <t>LIC</t>
  </si>
  <si>
    <t>LMC</t>
  </si>
  <si>
    <t>Low &amp; middle income</t>
  </si>
  <si>
    <t>LMY</t>
  </si>
  <si>
    <t>Late-demographic dividend</t>
  </si>
  <si>
    <t>LTE</t>
  </si>
  <si>
    <t>MEA</t>
  </si>
  <si>
    <t>Middle income</t>
  </si>
  <si>
    <t>MIC</t>
  </si>
  <si>
    <t>Middle East, North Africa, Afghanistan &amp; Pakistan (excluding high income)</t>
  </si>
  <si>
    <t>MNA</t>
  </si>
  <si>
    <t>NAC</t>
  </si>
  <si>
    <t>OECD members</t>
  </si>
  <si>
    <t>OED</t>
  </si>
  <si>
    <t>Other small states</t>
  </si>
  <si>
    <t>OSS</t>
  </si>
  <si>
    <t>Pre-demographic dividend</t>
  </si>
  <si>
    <t>PRE</t>
  </si>
  <si>
    <t>Puerto Rico (US)</t>
  </si>
  <si>
    <t>Pacific island small states</t>
  </si>
  <si>
    <t>PSS</t>
  </si>
  <si>
    <t>Post-demographic dividend</t>
  </si>
  <si>
    <t>PST</t>
  </si>
  <si>
    <t>SAS</t>
  </si>
  <si>
    <t>Somalia, Fed. Rep.</t>
  </si>
  <si>
    <t>Sub-Saharan Africa (excluding high income)</t>
  </si>
  <si>
    <t>SSA</t>
  </si>
  <si>
    <t>SSF</t>
  </si>
  <si>
    <t>Small states</t>
  </si>
  <si>
    <t>SST</t>
  </si>
  <si>
    <t>East Asia &amp; Pacific (IDA &amp; IBRD countries)</t>
  </si>
  <si>
    <t>TEA</t>
  </si>
  <si>
    <t>Europe &amp; Central Asia (IDA &amp; IBRD countries)</t>
  </si>
  <si>
    <t>TEC</t>
  </si>
  <si>
    <t>Latin America &amp; the Caribbean (IDA &amp; IBRD countries)</t>
  </si>
  <si>
    <t>TLA</t>
  </si>
  <si>
    <t>Middle East, North Africa, Afghanistan &amp; Pakistan (IDA &amp; IBRD)</t>
  </si>
  <si>
    <t>TMN</t>
  </si>
  <si>
    <t>South Asia (IDA &amp; IBRD)</t>
  </si>
  <si>
    <t>TSA</t>
  </si>
  <si>
    <t>Sub-Saharan Africa (IDA &amp; IBRD countries)</t>
  </si>
  <si>
    <t>TSS</t>
  </si>
  <si>
    <t>UMC</t>
  </si>
  <si>
    <t>World</t>
  </si>
  <si>
    <t>WLD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</si>
</sst>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scheme val="minor"/>
    </font>
    <font>
      <b/>
      <i/>
      <sz val="11"/>
      <color rgb="FFFF0000"/>
      <name val="Calibri"/>
      <family val="2"/>
      <scheme val="minor"/>
    </font>
    <font>
      <b/>
      <sz val="11"/>
      <color rgb="FFFF0000"/>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tint="-4.9989318521683403E-2"/>
        <bgColor theme="4" tint="0.79998168889431442"/>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s>
  <borders count="11">
    <border>
      <left/>
      <right/>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5" fillId="0" borderId="0"/>
  </cellStyleXfs>
  <cellXfs count="31">
    <xf numFmtId="0" fontId="0" fillId="0" borderId="0" xfId="0"/>
    <xf numFmtId="164" fontId="0" fillId="0" borderId="0" xfId="0" applyNumberFormat="1"/>
    <xf numFmtId="0" fontId="2" fillId="2" borderId="0" xfId="0" applyFont="1" applyFill="1"/>
    <xf numFmtId="0" fontId="3" fillId="2" borderId="0" xfId="0" applyFont="1" applyFill="1"/>
    <xf numFmtId="0" fontId="0" fillId="2" borderId="0" xfId="0" applyFill="1"/>
    <xf numFmtId="0" fontId="1" fillId="2" borderId="0" xfId="0" applyFont="1" applyFill="1"/>
    <xf numFmtId="0" fontId="0" fillId="2" borderId="0" xfId="0" applyFill="1" applyAlignment="1">
      <alignment horizontal="left"/>
    </xf>
    <xf numFmtId="0" fontId="1" fillId="3" borderId="1" xfId="0" applyFont="1" applyFill="1" applyBorder="1"/>
    <xf numFmtId="14" fontId="0" fillId="0" borderId="0" xfId="0" applyNumberFormat="1"/>
    <xf numFmtId="0" fontId="4" fillId="0" borderId="0" xfId="0" applyFont="1"/>
    <xf numFmtId="0" fontId="4" fillId="0" borderId="0" xfId="1" applyFont="1"/>
    <xf numFmtId="0" fontId="5" fillId="4" borderId="0" xfId="1" applyFill="1"/>
    <xf numFmtId="0" fontId="5" fillId="0" borderId="0" xfId="1"/>
    <xf numFmtId="0" fontId="0" fillId="5" borderId="0" xfId="0" applyFill="1"/>
    <xf numFmtId="0" fontId="0" fillId="5" borderId="0" xfId="0" applyFill="1" applyAlignment="1">
      <alignment horizontal="center"/>
    </xf>
    <xf numFmtId="0" fontId="0" fillId="6" borderId="0" xfId="0" applyFill="1"/>
    <xf numFmtId="0" fontId="0" fillId="6" borderId="0" xfId="0" applyFill="1" applyAlignment="1">
      <alignment horizontal="left"/>
    </xf>
    <xf numFmtId="164" fontId="0" fillId="6" borderId="0" xfId="0" applyNumberFormat="1" applyFill="1"/>
    <xf numFmtId="0" fontId="0" fillId="2" borderId="0" xfId="0"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0" fontId="0" fillId="0" borderId="0" xfId="0" pivotButton="1"/>
    <xf numFmtId="0" fontId="0" fillId="0" borderId="0" xfId="0" applyAlignment="1">
      <alignment horizontal="left"/>
    </xf>
  </cellXfs>
  <cellStyles count="2">
    <cellStyle name="Normal" xfId="0" builtinId="0"/>
    <cellStyle name="Normal 5" xfId="1" xr:uid="{F31E08FE-3398-4082-97FF-C200C6C49429}"/>
  </cellStyles>
  <dxfs count="28">
    <dxf>
      <numFmt numFmtId="164" formatCode="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numFmt numFmtId="0" formatCode="General"/>
    </dxf>
    <dxf>
      <numFmt numFmtId="0" formatCode="Genera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numFmt numFmtId="164" formatCode="0.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numFmt numFmtId="164" formatCode="0.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rgb="FF00000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Figure 4C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tables'!$B$31:$B$32</c:f>
              <c:strCache>
                <c:ptCount val="1"/>
                <c:pt idx="0">
                  <c:v>A</c:v>
                </c:pt>
              </c:strCache>
            </c:strRef>
          </c:tx>
          <c:spPr>
            <a:ln w="28575" cap="rnd">
              <a:solidFill>
                <a:schemeClr val="accent1"/>
              </a:solidFill>
              <a:round/>
            </a:ln>
            <a:effectLst/>
          </c:spPr>
          <c:marker>
            <c:symbol val="none"/>
          </c:marker>
          <c:cat>
            <c:strRef>
              <c:f>'Pivot tables'!$A$33:$A$35</c:f>
              <c:strCache>
                <c:ptCount val="3"/>
                <c:pt idx="0">
                  <c:v>Average of 2024</c:v>
                </c:pt>
                <c:pt idx="1">
                  <c:v>Average of 2023</c:v>
                </c:pt>
                <c:pt idx="2">
                  <c:v>Average of 2022</c:v>
                </c:pt>
              </c:strCache>
            </c:strRef>
          </c:cat>
          <c:val>
            <c:numRef>
              <c:f>'Pivot tables'!$B$33:$B$35</c:f>
              <c:numCache>
                <c:formatCode>0.0</c:formatCode>
                <c:ptCount val="3"/>
                <c:pt idx="0">
                  <c:v>100.12322479415225</c:v>
                </c:pt>
                <c:pt idx="1">
                  <c:v>100.86288008475887</c:v>
                </c:pt>
                <c:pt idx="2">
                  <c:v>100.73982681469549</c:v>
                </c:pt>
              </c:numCache>
            </c:numRef>
          </c:val>
          <c:smooth val="0"/>
          <c:extLst>
            <c:ext xmlns:c16="http://schemas.microsoft.com/office/drawing/2014/chart" uri="{C3380CC4-5D6E-409C-BE32-E72D297353CC}">
              <c16:uniqueId val="{00000000-ED9D-46BD-AC49-7224720D43AC}"/>
            </c:ext>
          </c:extLst>
        </c:ser>
        <c:ser>
          <c:idx val="1"/>
          <c:order val="1"/>
          <c:tx>
            <c:strRef>
              <c:f>'Pivot tables'!$C$31:$C$32</c:f>
              <c:strCache>
                <c:ptCount val="1"/>
                <c:pt idx="0">
                  <c:v>B</c:v>
                </c:pt>
              </c:strCache>
            </c:strRef>
          </c:tx>
          <c:spPr>
            <a:ln w="28575" cap="rnd">
              <a:solidFill>
                <a:schemeClr val="accent2"/>
              </a:solidFill>
              <a:round/>
            </a:ln>
            <a:effectLst/>
          </c:spPr>
          <c:marker>
            <c:symbol val="none"/>
          </c:marker>
          <c:cat>
            <c:strRef>
              <c:f>'Pivot tables'!$A$33:$A$35</c:f>
              <c:strCache>
                <c:ptCount val="3"/>
                <c:pt idx="0">
                  <c:v>Average of 2024</c:v>
                </c:pt>
                <c:pt idx="1">
                  <c:v>Average of 2023</c:v>
                </c:pt>
                <c:pt idx="2">
                  <c:v>Average of 2022</c:v>
                </c:pt>
              </c:strCache>
            </c:strRef>
          </c:cat>
          <c:val>
            <c:numRef>
              <c:f>'Pivot tables'!$C$33:$C$35</c:f>
              <c:numCache>
                <c:formatCode>0.0</c:formatCode>
                <c:ptCount val="3"/>
                <c:pt idx="0">
                  <c:v>103.45847891071236</c:v>
                </c:pt>
                <c:pt idx="1">
                  <c:v>99.274302534114753</c:v>
                </c:pt>
                <c:pt idx="2">
                  <c:v>100.92852339254382</c:v>
                </c:pt>
              </c:numCache>
            </c:numRef>
          </c:val>
          <c:smooth val="0"/>
          <c:extLst>
            <c:ext xmlns:c16="http://schemas.microsoft.com/office/drawing/2014/chart" uri="{C3380CC4-5D6E-409C-BE32-E72D297353CC}">
              <c16:uniqueId val="{00000001-ED9D-46BD-AC49-7224720D43AC}"/>
            </c:ext>
          </c:extLst>
        </c:ser>
        <c:ser>
          <c:idx val="2"/>
          <c:order val="2"/>
          <c:tx>
            <c:strRef>
              <c:f>'Pivot tables'!$D$31:$D$32</c:f>
              <c:strCache>
                <c:ptCount val="1"/>
                <c:pt idx="0">
                  <c:v>C</c:v>
                </c:pt>
              </c:strCache>
            </c:strRef>
          </c:tx>
          <c:spPr>
            <a:ln w="28575" cap="rnd">
              <a:solidFill>
                <a:schemeClr val="accent3"/>
              </a:solidFill>
              <a:round/>
            </a:ln>
            <a:effectLst/>
          </c:spPr>
          <c:marker>
            <c:symbol val="none"/>
          </c:marker>
          <c:cat>
            <c:strRef>
              <c:f>'Pivot tables'!$A$33:$A$35</c:f>
              <c:strCache>
                <c:ptCount val="3"/>
                <c:pt idx="0">
                  <c:v>Average of 2024</c:v>
                </c:pt>
                <c:pt idx="1">
                  <c:v>Average of 2023</c:v>
                </c:pt>
                <c:pt idx="2">
                  <c:v>Average of 2022</c:v>
                </c:pt>
              </c:strCache>
            </c:strRef>
          </c:cat>
          <c:val>
            <c:numRef>
              <c:f>'Pivot tables'!$D$33:$D$35</c:f>
              <c:numCache>
                <c:formatCode>0.0</c:formatCode>
                <c:ptCount val="3"/>
                <c:pt idx="0">
                  <c:v>99.270864508698807</c:v>
                </c:pt>
                <c:pt idx="1">
                  <c:v>100.48143615023771</c:v>
                </c:pt>
                <c:pt idx="2">
                  <c:v>100.45728439103871</c:v>
                </c:pt>
              </c:numCache>
            </c:numRef>
          </c:val>
          <c:smooth val="0"/>
          <c:extLst>
            <c:ext xmlns:c16="http://schemas.microsoft.com/office/drawing/2014/chart" uri="{C3380CC4-5D6E-409C-BE32-E72D297353CC}">
              <c16:uniqueId val="{00000002-ED9D-46BD-AC49-7224720D43AC}"/>
            </c:ext>
          </c:extLst>
        </c:ser>
        <c:dLbls>
          <c:showLegendKey val="0"/>
          <c:showVal val="0"/>
          <c:showCatName val="0"/>
          <c:showSerName val="0"/>
          <c:showPercent val="0"/>
          <c:showBubbleSize val="0"/>
        </c:dLbls>
        <c:smooth val="0"/>
        <c:axId val="1532004576"/>
        <c:axId val="1532006016"/>
      </c:lineChart>
      <c:catAx>
        <c:axId val="153200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06016"/>
        <c:crosses val="autoZero"/>
        <c:auto val="1"/>
        <c:lblAlgn val="ctr"/>
        <c:lblOffset val="100"/>
        <c:noMultiLvlLbl val="0"/>
      </c:catAx>
      <c:valAx>
        <c:axId val="1532006016"/>
        <c:scaling>
          <c:orientation val="minMax"/>
        </c:scaling>
        <c:delete val="1"/>
        <c:axPos val="l"/>
        <c:numFmt formatCode="0.0" sourceLinked="1"/>
        <c:majorTickMark val="none"/>
        <c:minorTickMark val="none"/>
        <c:tickLblPos val="nextTo"/>
        <c:crossAx val="153200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Figure 4A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89546962923882E-2"/>
          <c:y val="0.10192464133930404"/>
          <c:w val="0.91512707054899167"/>
          <c:h val="0.76236162957781817"/>
        </c:manualLayout>
      </c:layout>
      <c:barChart>
        <c:barDir val="col"/>
        <c:grouping val="clustered"/>
        <c:varyColors val="0"/>
        <c:ser>
          <c:idx val="0"/>
          <c:order val="0"/>
          <c:tx>
            <c:strRef>
              <c:f>'Pivot tables'!$B$3</c:f>
              <c:strCache>
                <c:ptCount val="1"/>
                <c:pt idx="0">
                  <c:v>Average of 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tables'!$B$4:$B$8</c:f>
              <c:numCache>
                <c:formatCode>0.0</c:formatCode>
                <c:ptCount val="4"/>
                <c:pt idx="0">
                  <c:v>99.233337740884451</c:v>
                </c:pt>
                <c:pt idx="1">
                  <c:v>110.01348841211565</c:v>
                </c:pt>
                <c:pt idx="2">
                  <c:v>99.021003010340081</c:v>
                </c:pt>
                <c:pt idx="3">
                  <c:v>100.35202207023126</c:v>
                </c:pt>
              </c:numCache>
            </c:numRef>
          </c:val>
          <c:extLst>
            <c:ext xmlns:c16="http://schemas.microsoft.com/office/drawing/2014/chart" uri="{C3380CC4-5D6E-409C-BE32-E72D297353CC}">
              <c16:uniqueId val="{00000000-4C0F-46E7-BAD5-F492392A7450}"/>
            </c:ext>
          </c:extLst>
        </c:ser>
        <c:ser>
          <c:idx val="1"/>
          <c:order val="1"/>
          <c:tx>
            <c:strRef>
              <c:f>'Pivot tables'!$C$3</c:f>
              <c:strCache>
                <c:ptCount val="1"/>
                <c:pt idx="0">
                  <c:v>Average of 2023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tables'!$C$4:$C$8</c:f>
              <c:numCache>
                <c:formatCode>0.0</c:formatCode>
                <c:ptCount val="4"/>
                <c:pt idx="0">
                  <c:v>100.97785962274577</c:v>
                </c:pt>
                <c:pt idx="1">
                  <c:v>101.40254667126887</c:v>
                </c:pt>
                <c:pt idx="2">
                  <c:v>98.791340662023444</c:v>
                </c:pt>
                <c:pt idx="3">
                  <c:v>99.952683656490578</c:v>
                </c:pt>
              </c:numCache>
            </c:numRef>
          </c:val>
          <c:extLst>
            <c:ext xmlns:c16="http://schemas.microsoft.com/office/drawing/2014/chart" uri="{C3380CC4-5D6E-409C-BE32-E72D297353CC}">
              <c16:uniqueId val="{00000001-4C0F-46E7-BAD5-F492392A7450}"/>
            </c:ext>
          </c:extLst>
        </c:ser>
        <c:ser>
          <c:idx val="2"/>
          <c:order val="2"/>
          <c:tx>
            <c:strRef>
              <c:f>'Pivot tables'!$D$3</c:f>
              <c:strCache>
                <c:ptCount val="1"/>
                <c:pt idx="0">
                  <c:v>Average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tables'!$D$4:$D$8</c:f>
              <c:numCache>
                <c:formatCode>0.0</c:formatCode>
                <c:ptCount val="4"/>
                <c:pt idx="0">
                  <c:v>100.18913591358793</c:v>
                </c:pt>
                <c:pt idx="1">
                  <c:v>105.68035697061055</c:v>
                </c:pt>
                <c:pt idx="2">
                  <c:v>99.451074784177877</c:v>
                </c:pt>
                <c:pt idx="3">
                  <c:v>100.99848636088637</c:v>
                </c:pt>
              </c:numCache>
            </c:numRef>
          </c:val>
          <c:extLst>
            <c:ext xmlns:c16="http://schemas.microsoft.com/office/drawing/2014/chart" uri="{C3380CC4-5D6E-409C-BE32-E72D297353CC}">
              <c16:uniqueId val="{00000002-4C0F-46E7-BAD5-F492392A7450}"/>
            </c:ext>
          </c:extLst>
        </c:ser>
        <c:ser>
          <c:idx val="3"/>
          <c:order val="3"/>
          <c:tx>
            <c:strRef>
              <c:f>'Pivot tables'!$E$3</c:f>
              <c:strCache>
                <c:ptCount val="1"/>
                <c:pt idx="0">
                  <c:v>Average of 2021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tables'!$E$4:$E$8</c:f>
              <c:numCache>
                <c:formatCode>0.0</c:formatCode>
                <c:ptCount val="4"/>
                <c:pt idx="0">
                  <c:v>100.34288571877116</c:v>
                </c:pt>
                <c:pt idx="1">
                  <c:v>107.04119377068672</c:v>
                </c:pt>
                <c:pt idx="2">
                  <c:v>98.449858041666488</c:v>
                </c:pt>
                <c:pt idx="3">
                  <c:v>100.97320645060623</c:v>
                </c:pt>
              </c:numCache>
            </c:numRef>
          </c:val>
          <c:extLst>
            <c:ext xmlns:c16="http://schemas.microsoft.com/office/drawing/2014/chart" uri="{C3380CC4-5D6E-409C-BE32-E72D297353CC}">
              <c16:uniqueId val="{00000003-4C0F-46E7-BAD5-F492392A7450}"/>
            </c:ext>
          </c:extLst>
        </c:ser>
        <c:dLbls>
          <c:dLblPos val="outEnd"/>
          <c:showLegendKey val="0"/>
          <c:showVal val="1"/>
          <c:showCatName val="0"/>
          <c:showSerName val="0"/>
          <c:showPercent val="0"/>
          <c:showBubbleSize val="0"/>
        </c:dLbls>
        <c:gapWidth val="219"/>
        <c:overlap val="-27"/>
        <c:axId val="1532018496"/>
        <c:axId val="1532022336"/>
      </c:barChart>
      <c:catAx>
        <c:axId val="15320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22336"/>
        <c:crosses val="autoZero"/>
        <c:auto val="1"/>
        <c:lblAlgn val="ctr"/>
        <c:lblOffset val="100"/>
        <c:noMultiLvlLbl val="0"/>
      </c:catAx>
      <c:valAx>
        <c:axId val="1532022336"/>
        <c:scaling>
          <c:orientation val="minMax"/>
        </c:scaling>
        <c:delete val="1"/>
        <c:axPos val="l"/>
        <c:numFmt formatCode="0.0" sourceLinked="1"/>
        <c:majorTickMark val="none"/>
        <c:minorTickMark val="none"/>
        <c:tickLblPos val="nextTo"/>
        <c:crossAx val="1532018496"/>
        <c:crosses val="autoZero"/>
        <c:crossBetween val="between"/>
      </c:valAx>
      <c:spPr>
        <a:noFill/>
        <a:ln>
          <a:noFill/>
        </a:ln>
        <a:effectLst/>
      </c:spPr>
    </c:plotArea>
    <c:legend>
      <c:legendPos val="r"/>
      <c:layout>
        <c:manualLayout>
          <c:xMode val="edge"/>
          <c:yMode val="edge"/>
          <c:x val="0.81697465362368193"/>
          <c:y val="0.12580328021531043"/>
          <c:w val="0.16582104238778128"/>
          <c:h val="0.24751318130326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tables!PivotTable2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4B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tables'!$A$16:$A$23</c:f>
              <c:strCache>
                <c:ptCount val="7"/>
                <c:pt idx="0">
                  <c:v>East Asia &amp; Pacific</c:v>
                </c:pt>
                <c:pt idx="1">
                  <c:v>Europe &amp; Central Asia</c:v>
                </c:pt>
                <c:pt idx="2">
                  <c:v>Latin America &amp; Caribbean</c:v>
                </c:pt>
                <c:pt idx="3">
                  <c:v>Middle East, North Africa, Afghanistan &amp; Pakistan</c:v>
                </c:pt>
                <c:pt idx="4">
                  <c:v>North America</c:v>
                </c:pt>
                <c:pt idx="5">
                  <c:v>South Asia</c:v>
                </c:pt>
                <c:pt idx="6">
                  <c:v>Sub-Saharan Africa</c:v>
                </c:pt>
              </c:strCache>
            </c:strRef>
          </c:cat>
          <c:val>
            <c:numRef>
              <c:f>'Pivot tables'!$B$16:$B$23</c:f>
              <c:numCache>
                <c:formatCode>0.0</c:formatCode>
                <c:ptCount val="7"/>
                <c:pt idx="0">
                  <c:v>98.762839487315318</c:v>
                </c:pt>
                <c:pt idx="1">
                  <c:v>100.87348938658374</c:v>
                </c:pt>
                <c:pt idx="2">
                  <c:v>97.211229311052335</c:v>
                </c:pt>
                <c:pt idx="3">
                  <c:v>97.40273398750827</c:v>
                </c:pt>
                <c:pt idx="5">
                  <c:v>113.24584789248497</c:v>
                </c:pt>
                <c:pt idx="6">
                  <c:v>104.69098062756294</c:v>
                </c:pt>
              </c:numCache>
            </c:numRef>
          </c:val>
          <c:extLst>
            <c:ext xmlns:c16="http://schemas.microsoft.com/office/drawing/2014/chart" uri="{C3380CC4-5D6E-409C-BE32-E72D297353CC}">
              <c16:uniqueId val="{00000000-7B13-4795-B03E-A5B32B3507EF}"/>
            </c:ext>
          </c:extLst>
        </c:ser>
        <c:dLbls>
          <c:dLblPos val="outEnd"/>
          <c:showLegendKey val="0"/>
          <c:showVal val="1"/>
          <c:showCatName val="0"/>
          <c:showSerName val="0"/>
          <c:showPercent val="0"/>
          <c:showBubbleSize val="0"/>
        </c:dLbls>
        <c:gapWidth val="182"/>
        <c:axId val="1531994016"/>
        <c:axId val="1531994496"/>
      </c:barChart>
      <c:catAx>
        <c:axId val="153199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94496"/>
        <c:crosses val="autoZero"/>
        <c:auto val="1"/>
        <c:lblAlgn val="ctr"/>
        <c:lblOffset val="100"/>
        <c:noMultiLvlLbl val="0"/>
      </c:catAx>
      <c:valAx>
        <c:axId val="1531994496"/>
        <c:scaling>
          <c:orientation val="minMax"/>
        </c:scaling>
        <c:delete val="1"/>
        <c:axPos val="b"/>
        <c:numFmt formatCode="0.0" sourceLinked="1"/>
        <c:majorTickMark val="none"/>
        <c:minorTickMark val="none"/>
        <c:tickLblPos val="nextTo"/>
        <c:crossAx val="153199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4C!PivotTable5</c:name>
    <c:fmtId val="1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22222222222221E-2"/>
          <c:y val="0.17027559055118111"/>
          <c:w val="0.67847222222222225"/>
          <c:h val="0.65853091280256637"/>
        </c:manualLayout>
      </c:layout>
      <c:lineChart>
        <c:grouping val="standard"/>
        <c:varyColors val="0"/>
        <c:ser>
          <c:idx val="0"/>
          <c:order val="0"/>
          <c:tx>
            <c:strRef>
              <c:f>'Pivot 4C'!$B$3:$B$4</c:f>
              <c:strCache>
                <c:ptCount val="1"/>
                <c:pt idx="0">
                  <c:v>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4C'!$A$5:$A$7</c:f>
              <c:strCache>
                <c:ptCount val="3"/>
                <c:pt idx="0">
                  <c:v>Average of 2022</c:v>
                </c:pt>
                <c:pt idx="1">
                  <c:v>Average of 2023</c:v>
                </c:pt>
                <c:pt idx="2">
                  <c:v>Average of 2024</c:v>
                </c:pt>
              </c:strCache>
            </c:strRef>
          </c:cat>
          <c:val>
            <c:numRef>
              <c:f>'Pivot 4C'!$B$5:$B$7</c:f>
              <c:numCache>
                <c:formatCode>General</c:formatCode>
                <c:ptCount val="3"/>
                <c:pt idx="0">
                  <c:v>100.73982681469549</c:v>
                </c:pt>
                <c:pt idx="1">
                  <c:v>100.86288008475887</c:v>
                </c:pt>
                <c:pt idx="2">
                  <c:v>100.12322479415225</c:v>
                </c:pt>
              </c:numCache>
            </c:numRef>
          </c:val>
          <c:smooth val="0"/>
          <c:extLst>
            <c:ext xmlns:c16="http://schemas.microsoft.com/office/drawing/2014/chart" uri="{C3380CC4-5D6E-409C-BE32-E72D297353CC}">
              <c16:uniqueId val="{00000000-8C99-4105-9EAE-4EB98F0EBE68}"/>
            </c:ext>
          </c:extLst>
        </c:ser>
        <c:ser>
          <c:idx val="1"/>
          <c:order val="1"/>
          <c:tx>
            <c:strRef>
              <c:f>'Pivot 4C'!$C$3:$C$4</c:f>
              <c:strCache>
                <c:ptCount val="1"/>
                <c:pt idx="0">
                  <c:v>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4C'!$A$5:$A$7</c:f>
              <c:strCache>
                <c:ptCount val="3"/>
                <c:pt idx="0">
                  <c:v>Average of 2022</c:v>
                </c:pt>
                <c:pt idx="1">
                  <c:v>Average of 2023</c:v>
                </c:pt>
                <c:pt idx="2">
                  <c:v>Average of 2024</c:v>
                </c:pt>
              </c:strCache>
            </c:strRef>
          </c:cat>
          <c:val>
            <c:numRef>
              <c:f>'Pivot 4C'!$C$5:$C$7</c:f>
              <c:numCache>
                <c:formatCode>General</c:formatCode>
                <c:ptCount val="3"/>
                <c:pt idx="0">
                  <c:v>100.92852339254382</c:v>
                </c:pt>
                <c:pt idx="1">
                  <c:v>99.274302534114753</c:v>
                </c:pt>
                <c:pt idx="2">
                  <c:v>103.45847891071236</c:v>
                </c:pt>
              </c:numCache>
            </c:numRef>
          </c:val>
          <c:smooth val="0"/>
          <c:extLst>
            <c:ext xmlns:c16="http://schemas.microsoft.com/office/drawing/2014/chart" uri="{C3380CC4-5D6E-409C-BE32-E72D297353CC}">
              <c16:uniqueId val="{00000001-8C99-4105-9EAE-4EB98F0EBE68}"/>
            </c:ext>
          </c:extLst>
        </c:ser>
        <c:ser>
          <c:idx val="2"/>
          <c:order val="2"/>
          <c:tx>
            <c:strRef>
              <c:f>'Pivot 4C'!$D$3:$D$4</c:f>
              <c:strCache>
                <c:ptCount val="1"/>
                <c:pt idx="0">
                  <c:v>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4C'!$A$5:$A$7</c:f>
              <c:strCache>
                <c:ptCount val="3"/>
                <c:pt idx="0">
                  <c:v>Average of 2022</c:v>
                </c:pt>
                <c:pt idx="1">
                  <c:v>Average of 2023</c:v>
                </c:pt>
                <c:pt idx="2">
                  <c:v>Average of 2024</c:v>
                </c:pt>
              </c:strCache>
            </c:strRef>
          </c:cat>
          <c:val>
            <c:numRef>
              <c:f>'Pivot 4C'!$D$5:$D$7</c:f>
              <c:numCache>
                <c:formatCode>General</c:formatCode>
                <c:ptCount val="3"/>
                <c:pt idx="0">
                  <c:v>100.45728439103871</c:v>
                </c:pt>
                <c:pt idx="1">
                  <c:v>100.48143615023771</c:v>
                </c:pt>
                <c:pt idx="2">
                  <c:v>99.270864508698807</c:v>
                </c:pt>
              </c:numCache>
            </c:numRef>
          </c:val>
          <c:smooth val="0"/>
          <c:extLst>
            <c:ext xmlns:c16="http://schemas.microsoft.com/office/drawing/2014/chart" uri="{C3380CC4-5D6E-409C-BE32-E72D297353CC}">
              <c16:uniqueId val="{00000002-8C99-4105-9EAE-4EB98F0EBE68}"/>
            </c:ext>
          </c:extLst>
        </c:ser>
        <c:dLbls>
          <c:showLegendKey val="0"/>
          <c:showVal val="0"/>
          <c:showCatName val="0"/>
          <c:showSerName val="0"/>
          <c:showPercent val="0"/>
          <c:showBubbleSize val="0"/>
        </c:dLbls>
        <c:marker val="1"/>
        <c:smooth val="0"/>
        <c:axId val="249633183"/>
        <c:axId val="165165391"/>
      </c:lineChart>
      <c:catAx>
        <c:axId val="24963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5391"/>
        <c:crosses val="autoZero"/>
        <c:auto val="1"/>
        <c:lblAlgn val="ctr"/>
        <c:lblOffset val="100"/>
        <c:noMultiLvlLbl val="0"/>
      </c:catAx>
      <c:valAx>
        <c:axId val="165165391"/>
        <c:scaling>
          <c:orientation val="minMax"/>
        </c:scaling>
        <c:delete val="1"/>
        <c:axPos val="l"/>
        <c:numFmt formatCode="General" sourceLinked="1"/>
        <c:majorTickMark val="none"/>
        <c:minorTickMark val="none"/>
        <c:tickLblPos val="nextTo"/>
        <c:crossAx val="24963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4B!PivotTable4</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t>Average Primary School Enrolment by Region (2024)</a:t>
            </a:r>
            <a:endParaRPr lang="en-US"/>
          </a:p>
        </c:rich>
      </c:tx>
      <c:layout>
        <c:manualLayout>
          <c:xMode val="edge"/>
          <c:yMode val="edge"/>
          <c:x val="0.15124300087489065"/>
          <c:y val="7.942156268927921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4B'!$B$3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4B'!$A$4:$A$10</c:f>
              <c:strCache>
                <c:ptCount val="6"/>
                <c:pt idx="0">
                  <c:v>Latin America &amp; Caribbean</c:v>
                </c:pt>
                <c:pt idx="1">
                  <c:v>Middle East, North Africa, Afghanistan &amp; Pakistan</c:v>
                </c:pt>
                <c:pt idx="2">
                  <c:v>East Asia &amp; Pacific</c:v>
                </c:pt>
                <c:pt idx="3">
                  <c:v>Europe &amp; Central Asia</c:v>
                </c:pt>
                <c:pt idx="4">
                  <c:v>Sub-Saharan Africa</c:v>
                </c:pt>
                <c:pt idx="5">
                  <c:v>South Asia</c:v>
                </c:pt>
              </c:strCache>
            </c:strRef>
          </c:cat>
          <c:val>
            <c:numRef>
              <c:f>'Pivot 4B'!$B$4:$B$10</c:f>
              <c:numCache>
                <c:formatCode>General</c:formatCode>
                <c:ptCount val="6"/>
                <c:pt idx="0">
                  <c:v>97.211229311052335</c:v>
                </c:pt>
                <c:pt idx="1">
                  <c:v>97.40273398750827</c:v>
                </c:pt>
                <c:pt idx="2">
                  <c:v>98.762839487315318</c:v>
                </c:pt>
                <c:pt idx="3">
                  <c:v>100.87348938658374</c:v>
                </c:pt>
                <c:pt idx="4">
                  <c:v>104.69098062756292</c:v>
                </c:pt>
                <c:pt idx="5">
                  <c:v>113.24584789248497</c:v>
                </c:pt>
              </c:numCache>
            </c:numRef>
          </c:val>
          <c:extLst>
            <c:ext xmlns:c16="http://schemas.microsoft.com/office/drawing/2014/chart" uri="{C3380CC4-5D6E-409C-BE32-E72D297353CC}">
              <c16:uniqueId val="{00000000-5D0C-4A26-86D9-1421B88B8426}"/>
            </c:ext>
          </c:extLst>
        </c:ser>
        <c:dLbls>
          <c:dLblPos val="outEnd"/>
          <c:showLegendKey val="0"/>
          <c:showVal val="1"/>
          <c:showCatName val="0"/>
          <c:showSerName val="0"/>
          <c:showPercent val="0"/>
          <c:showBubbleSize val="0"/>
        </c:dLbls>
        <c:gapWidth val="219"/>
        <c:axId val="80637535"/>
        <c:axId val="165158191"/>
      </c:barChart>
      <c:catAx>
        <c:axId val="8063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58191"/>
        <c:crosses val="autoZero"/>
        <c:auto val="1"/>
        <c:lblAlgn val="ctr"/>
        <c:lblOffset val="100"/>
        <c:noMultiLvlLbl val="0"/>
      </c:catAx>
      <c:valAx>
        <c:axId val="165158191"/>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fig 4A!PivotTable3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Primary School Enrolment by Income Level (2021–2024)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3696682464454975E-2"/>
              <c:y val="5.617977528089880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7.8988941548183249E-3"/>
              <c:y val="1.872659176029962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2.5671406003159557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3696682464454975E-2"/>
              <c:y val="2.996254681647933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1.9747235387045814E-2"/>
              <c:y val="3.74531835205991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184834123222756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layout>
            <c:manualLayout>
              <c:x val="9.8736176935228341E-3"/>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9620853080568794E-2"/>
              <c:y val="2.996254681647940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dLbl>
          <c:idx val="0"/>
          <c:layout>
            <c:manualLayout>
              <c:x val="1.1848341232227343E-2"/>
              <c:y val="2.24719101123595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3696682464454975E-2"/>
              <c:y val="5.617977528089880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3696682464454975E-2"/>
              <c:y val="2.996254681647933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9620853080568794E-2"/>
              <c:y val="2.996254681647940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1.184834123222756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dLbl>
          <c:idx val="0"/>
          <c:layout>
            <c:manualLayout>
              <c:x val="2.5671406003159557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dLbl>
          <c:idx val="0"/>
          <c:layout>
            <c:manualLayout>
              <c:x val="9.8736176935228341E-3"/>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dLbl>
          <c:idx val="0"/>
          <c:layout>
            <c:manualLayout>
              <c:x val="7.8988941548183249E-3"/>
              <c:y val="1.872659176029962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dLbl>
          <c:idx val="0"/>
          <c:layout>
            <c:manualLayout>
              <c:x val="1.9747235387045814E-2"/>
              <c:y val="3.74531835205991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dLbl>
          <c:idx val="0"/>
          <c:layout>
            <c:manualLayout>
              <c:x val="1.1848341232227343E-2"/>
              <c:y val="2.24719101123595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2.3696682464454975E-2"/>
              <c:y val="5.617977528089880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2.3696682464454975E-2"/>
              <c:y val="2.996254681647933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2.9620853080568794E-2"/>
              <c:y val="2.996254681647940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1.184834123222756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dLbl>
          <c:idx val="0"/>
          <c:layout>
            <c:manualLayout>
              <c:x val="2.5671406003159557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dLbl>
          <c:idx val="0"/>
          <c:layout>
            <c:manualLayout>
              <c:x val="9.8736176935228341E-3"/>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dLbl>
          <c:idx val="0"/>
          <c:layout>
            <c:manualLayout>
              <c:x val="7.8988941548183249E-3"/>
              <c:y val="1.872659176029962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dLbl>
          <c:idx val="0"/>
          <c:layout>
            <c:manualLayout>
              <c:x val="1.9747235387045814E-2"/>
              <c:y val="3.74531835205991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dLbl>
          <c:idx val="0"/>
          <c:layout>
            <c:manualLayout>
              <c:x val="1.1848341232227343E-2"/>
              <c:y val="2.24719101123595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8063216031647E-2"/>
          <c:y val="0.24703942906013152"/>
          <c:w val="0.74137580939918324"/>
          <c:h val="0.57255654840897696"/>
        </c:manualLayout>
      </c:layout>
      <c:barChart>
        <c:barDir val="col"/>
        <c:grouping val="clustered"/>
        <c:varyColors val="0"/>
        <c:ser>
          <c:idx val="0"/>
          <c:order val="0"/>
          <c:tx>
            <c:strRef>
              <c:f>'Pivot fig 4A'!$B$3</c:f>
              <c:strCache>
                <c:ptCount val="1"/>
                <c:pt idx="0">
                  <c:v>Average of 2021</c:v>
                </c:pt>
              </c:strCache>
            </c:strRef>
          </c:tx>
          <c:spPr>
            <a:solidFill>
              <a:schemeClr val="accent1"/>
            </a:solidFill>
            <a:ln>
              <a:noFill/>
            </a:ln>
            <a:effectLst/>
          </c:spPr>
          <c:invertIfNegative val="0"/>
          <c:dLbls>
            <c:dLbl>
              <c:idx val="0"/>
              <c:layout>
                <c:manualLayout>
                  <c:x val="-2.3696682464454975E-2"/>
                  <c:y val="5.6179775280898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71-49C2-9A90-96AD204E4D0C}"/>
                </c:ext>
              </c:extLst>
            </c:dLbl>
            <c:dLbl>
              <c:idx val="2"/>
              <c:layout>
                <c:manualLayout>
                  <c:x val="-2.3696682464454975E-2"/>
                  <c:y val="2.99625468164793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71-49C2-9A90-96AD204E4D0C}"/>
                </c:ext>
              </c:extLst>
            </c:dLbl>
            <c:dLbl>
              <c:idx val="3"/>
              <c:layout>
                <c:manualLayout>
                  <c:x val="-2.9620853080568794E-2"/>
                  <c:y val="2.99625468164794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71-49C2-9A90-96AD204E4D0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4A'!$B$4:$B$8</c:f>
              <c:numCache>
                <c:formatCode>General</c:formatCode>
                <c:ptCount val="4"/>
                <c:pt idx="0">
                  <c:v>100.34288571877116</c:v>
                </c:pt>
                <c:pt idx="1">
                  <c:v>107.04119377068672</c:v>
                </c:pt>
                <c:pt idx="2">
                  <c:v>98.449858041666488</c:v>
                </c:pt>
                <c:pt idx="3">
                  <c:v>100.97320645060623</c:v>
                </c:pt>
              </c:numCache>
            </c:numRef>
          </c:val>
          <c:extLst>
            <c:ext xmlns:c16="http://schemas.microsoft.com/office/drawing/2014/chart" uri="{C3380CC4-5D6E-409C-BE32-E72D297353CC}">
              <c16:uniqueId val="{00000003-6A71-49C2-9A90-96AD204E4D0C}"/>
            </c:ext>
          </c:extLst>
        </c:ser>
        <c:ser>
          <c:idx val="1"/>
          <c:order val="1"/>
          <c:tx>
            <c:strRef>
              <c:f>'Pivot fig 4A'!$C$3</c:f>
              <c:strCache>
                <c:ptCount val="1"/>
                <c:pt idx="0">
                  <c:v>Average of 2022</c:v>
                </c:pt>
              </c:strCache>
            </c:strRef>
          </c:tx>
          <c:spPr>
            <a:solidFill>
              <a:schemeClr val="accent2"/>
            </a:solidFill>
            <a:ln>
              <a:noFill/>
            </a:ln>
            <a:effectLst/>
          </c:spPr>
          <c:invertIfNegative val="0"/>
          <c:dLbls>
            <c:dLbl>
              <c:idx val="2"/>
              <c:layout>
                <c:manualLayout>
                  <c:x val="-1.184834123222756E-2"/>
                  <c:y val="1.49812734082396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A71-49C2-9A90-96AD204E4D0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4A'!$C$4:$C$8</c:f>
              <c:numCache>
                <c:formatCode>General</c:formatCode>
                <c:ptCount val="4"/>
                <c:pt idx="0">
                  <c:v>100.18913591358793</c:v>
                </c:pt>
                <c:pt idx="1">
                  <c:v>105.68035697061055</c:v>
                </c:pt>
                <c:pt idx="2">
                  <c:v>99.451074784177877</c:v>
                </c:pt>
                <c:pt idx="3">
                  <c:v>100.99848636088637</c:v>
                </c:pt>
              </c:numCache>
            </c:numRef>
          </c:val>
          <c:extLst>
            <c:ext xmlns:c16="http://schemas.microsoft.com/office/drawing/2014/chart" uri="{C3380CC4-5D6E-409C-BE32-E72D297353CC}">
              <c16:uniqueId val="{00000005-6A71-49C2-9A90-96AD204E4D0C}"/>
            </c:ext>
          </c:extLst>
        </c:ser>
        <c:ser>
          <c:idx val="2"/>
          <c:order val="2"/>
          <c:tx>
            <c:strRef>
              <c:f>'Pivot fig 4A'!$D$3</c:f>
              <c:strCache>
                <c:ptCount val="1"/>
                <c:pt idx="0">
                  <c:v>Average of 2023</c:v>
                </c:pt>
              </c:strCache>
            </c:strRef>
          </c:tx>
          <c:spPr>
            <a:solidFill>
              <a:schemeClr val="accent3"/>
            </a:solidFill>
            <a:ln>
              <a:noFill/>
            </a:ln>
            <a:effectLst/>
          </c:spPr>
          <c:invertIfNegative val="0"/>
          <c:dLbls>
            <c:dLbl>
              <c:idx val="0"/>
              <c:layout>
                <c:manualLayout>
                  <c:x val="2.5671406003159557E-2"/>
                  <c:y val="1.49812734082396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A71-49C2-9A90-96AD204E4D0C}"/>
                </c:ext>
              </c:extLst>
            </c:dLbl>
            <c:dLbl>
              <c:idx val="2"/>
              <c:layout>
                <c:manualLayout>
                  <c:x val="9.873617693522834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A71-49C2-9A90-96AD204E4D0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4A'!$D$4:$D$8</c:f>
              <c:numCache>
                <c:formatCode>General</c:formatCode>
                <c:ptCount val="4"/>
                <c:pt idx="0">
                  <c:v>100.97785962274577</c:v>
                </c:pt>
                <c:pt idx="1">
                  <c:v>101.40254667126887</c:v>
                </c:pt>
                <c:pt idx="2">
                  <c:v>98.791340662023444</c:v>
                </c:pt>
                <c:pt idx="3">
                  <c:v>99.952683656490578</c:v>
                </c:pt>
              </c:numCache>
            </c:numRef>
          </c:val>
          <c:extLst>
            <c:ext xmlns:c16="http://schemas.microsoft.com/office/drawing/2014/chart" uri="{C3380CC4-5D6E-409C-BE32-E72D297353CC}">
              <c16:uniqueId val="{00000008-6A71-49C2-9A90-96AD204E4D0C}"/>
            </c:ext>
          </c:extLst>
        </c:ser>
        <c:ser>
          <c:idx val="3"/>
          <c:order val="3"/>
          <c:tx>
            <c:strRef>
              <c:f>'Pivot fig 4A'!$E$3</c:f>
              <c:strCache>
                <c:ptCount val="1"/>
                <c:pt idx="0">
                  <c:v>Average of 2024</c:v>
                </c:pt>
              </c:strCache>
            </c:strRef>
          </c:tx>
          <c:spPr>
            <a:solidFill>
              <a:schemeClr val="accent4"/>
            </a:solidFill>
            <a:ln>
              <a:noFill/>
            </a:ln>
            <a:effectLst/>
          </c:spPr>
          <c:invertIfNegative val="0"/>
          <c:dLbls>
            <c:dLbl>
              <c:idx val="0"/>
              <c:layout>
                <c:manualLayout>
                  <c:x val="7.8988941548183249E-3"/>
                  <c:y val="1.87265917602996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A71-49C2-9A90-96AD204E4D0C}"/>
                </c:ext>
              </c:extLst>
            </c:dLbl>
            <c:dLbl>
              <c:idx val="2"/>
              <c:layout>
                <c:manualLayout>
                  <c:x val="1.9747235387045814E-2"/>
                  <c:y val="3.74531835205991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A71-49C2-9A90-96AD204E4D0C}"/>
                </c:ext>
              </c:extLst>
            </c:dLbl>
            <c:dLbl>
              <c:idx val="3"/>
              <c:layout>
                <c:manualLayout>
                  <c:x val="1.1848341232227343E-2"/>
                  <c:y val="2.2471910112359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A71-49C2-9A90-96AD204E4D0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4A'!$E$4:$E$8</c:f>
              <c:numCache>
                <c:formatCode>General</c:formatCode>
                <c:ptCount val="4"/>
                <c:pt idx="0">
                  <c:v>99.233337740884451</c:v>
                </c:pt>
                <c:pt idx="1">
                  <c:v>110.01348841211565</c:v>
                </c:pt>
                <c:pt idx="2">
                  <c:v>99.021003010340081</c:v>
                </c:pt>
                <c:pt idx="3">
                  <c:v>100.35202207023126</c:v>
                </c:pt>
              </c:numCache>
            </c:numRef>
          </c:val>
          <c:extLst>
            <c:ext xmlns:c16="http://schemas.microsoft.com/office/drawing/2014/chart" uri="{C3380CC4-5D6E-409C-BE32-E72D297353CC}">
              <c16:uniqueId val="{0000000C-6A71-49C2-9A90-96AD204E4D0C}"/>
            </c:ext>
          </c:extLst>
        </c:ser>
        <c:dLbls>
          <c:dLblPos val="outEnd"/>
          <c:showLegendKey val="0"/>
          <c:showVal val="1"/>
          <c:showCatName val="0"/>
          <c:showSerName val="0"/>
          <c:showPercent val="0"/>
          <c:showBubbleSize val="0"/>
        </c:dLbls>
        <c:gapWidth val="219"/>
        <c:axId val="192811599"/>
        <c:axId val="165233071"/>
      </c:barChart>
      <c:catAx>
        <c:axId val="19281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3071"/>
        <c:crosses val="autoZero"/>
        <c:auto val="1"/>
        <c:lblAlgn val="ctr"/>
        <c:lblOffset val="100"/>
        <c:noMultiLvlLbl val="0"/>
      </c:catAx>
      <c:valAx>
        <c:axId val="1652330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Enrolment (% Gross)</a:t>
                </a:r>
                <a:endParaRPr lang="en-US"/>
              </a:p>
            </c:rich>
          </c:tx>
          <c:layout>
            <c:manualLayout>
              <c:xMode val="edge"/>
              <c:yMode val="edge"/>
              <c:x val="2.7777777777777776E-2"/>
              <c:y val="0.235923738699329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crossAx val="19281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tables!PivotTable1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89546962923882E-2"/>
          <c:y val="0.10192464133930404"/>
          <c:w val="0.91512707054899167"/>
          <c:h val="0.76236162957781817"/>
        </c:manualLayout>
      </c:layout>
      <c:barChart>
        <c:barDir val="col"/>
        <c:grouping val="clustered"/>
        <c:varyColors val="0"/>
        <c:ser>
          <c:idx val="0"/>
          <c:order val="0"/>
          <c:tx>
            <c:strRef>
              <c:f>'Pivot tables'!$B$3</c:f>
              <c:strCache>
                <c:ptCount val="1"/>
                <c:pt idx="0">
                  <c:v>Average of 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tables'!$B$4:$B$8</c:f>
              <c:numCache>
                <c:formatCode>0.0</c:formatCode>
                <c:ptCount val="4"/>
                <c:pt idx="0">
                  <c:v>99.233337740884451</c:v>
                </c:pt>
                <c:pt idx="1">
                  <c:v>110.01348841211565</c:v>
                </c:pt>
                <c:pt idx="2">
                  <c:v>99.021003010340081</c:v>
                </c:pt>
                <c:pt idx="3">
                  <c:v>100.35202207023126</c:v>
                </c:pt>
              </c:numCache>
            </c:numRef>
          </c:val>
          <c:extLst>
            <c:ext xmlns:c16="http://schemas.microsoft.com/office/drawing/2014/chart" uri="{C3380CC4-5D6E-409C-BE32-E72D297353CC}">
              <c16:uniqueId val="{00000000-93A1-405C-8493-4502EE6C5493}"/>
            </c:ext>
          </c:extLst>
        </c:ser>
        <c:ser>
          <c:idx val="1"/>
          <c:order val="1"/>
          <c:tx>
            <c:strRef>
              <c:f>'Pivot tables'!$C$3</c:f>
              <c:strCache>
                <c:ptCount val="1"/>
                <c:pt idx="0">
                  <c:v>Average of 2023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tables'!$C$4:$C$8</c:f>
              <c:numCache>
                <c:formatCode>0.0</c:formatCode>
                <c:ptCount val="4"/>
                <c:pt idx="0">
                  <c:v>100.97785962274577</c:v>
                </c:pt>
                <c:pt idx="1">
                  <c:v>101.40254667126887</c:v>
                </c:pt>
                <c:pt idx="2">
                  <c:v>98.791340662023444</c:v>
                </c:pt>
                <c:pt idx="3">
                  <c:v>99.952683656490578</c:v>
                </c:pt>
              </c:numCache>
            </c:numRef>
          </c:val>
          <c:extLst>
            <c:ext xmlns:c16="http://schemas.microsoft.com/office/drawing/2014/chart" uri="{C3380CC4-5D6E-409C-BE32-E72D297353CC}">
              <c16:uniqueId val="{00000001-93A1-405C-8493-4502EE6C5493}"/>
            </c:ext>
          </c:extLst>
        </c:ser>
        <c:ser>
          <c:idx val="2"/>
          <c:order val="2"/>
          <c:tx>
            <c:strRef>
              <c:f>'Pivot tables'!$D$3</c:f>
              <c:strCache>
                <c:ptCount val="1"/>
                <c:pt idx="0">
                  <c:v>Average of 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tables'!$D$4:$D$8</c:f>
              <c:numCache>
                <c:formatCode>0.0</c:formatCode>
                <c:ptCount val="4"/>
                <c:pt idx="0">
                  <c:v>100.18913591358793</c:v>
                </c:pt>
                <c:pt idx="1">
                  <c:v>105.68035697061055</c:v>
                </c:pt>
                <c:pt idx="2">
                  <c:v>99.451074784177877</c:v>
                </c:pt>
                <c:pt idx="3">
                  <c:v>100.99848636088637</c:v>
                </c:pt>
              </c:numCache>
            </c:numRef>
          </c:val>
          <c:extLst>
            <c:ext xmlns:c16="http://schemas.microsoft.com/office/drawing/2014/chart" uri="{C3380CC4-5D6E-409C-BE32-E72D297353CC}">
              <c16:uniqueId val="{00000002-93A1-405C-8493-4502EE6C5493}"/>
            </c:ext>
          </c:extLst>
        </c:ser>
        <c:ser>
          <c:idx val="3"/>
          <c:order val="3"/>
          <c:tx>
            <c:strRef>
              <c:f>'Pivot tables'!$E$3</c:f>
              <c:strCache>
                <c:ptCount val="1"/>
                <c:pt idx="0">
                  <c:v>Average of 2021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High income</c:v>
                </c:pt>
                <c:pt idx="1">
                  <c:v>Low income</c:v>
                </c:pt>
                <c:pt idx="2">
                  <c:v>Lower middle income</c:v>
                </c:pt>
                <c:pt idx="3">
                  <c:v>Upper middle income</c:v>
                </c:pt>
              </c:strCache>
            </c:strRef>
          </c:cat>
          <c:val>
            <c:numRef>
              <c:f>'Pivot tables'!$E$4:$E$8</c:f>
              <c:numCache>
                <c:formatCode>0.0</c:formatCode>
                <c:ptCount val="4"/>
                <c:pt idx="0">
                  <c:v>100.34288571877116</c:v>
                </c:pt>
                <c:pt idx="1">
                  <c:v>107.04119377068672</c:v>
                </c:pt>
                <c:pt idx="2">
                  <c:v>98.449858041666488</c:v>
                </c:pt>
                <c:pt idx="3">
                  <c:v>100.97320645060623</c:v>
                </c:pt>
              </c:numCache>
            </c:numRef>
          </c:val>
          <c:extLst>
            <c:ext xmlns:c16="http://schemas.microsoft.com/office/drawing/2014/chart" uri="{C3380CC4-5D6E-409C-BE32-E72D297353CC}">
              <c16:uniqueId val="{00000003-93A1-405C-8493-4502EE6C5493}"/>
            </c:ext>
          </c:extLst>
        </c:ser>
        <c:dLbls>
          <c:dLblPos val="outEnd"/>
          <c:showLegendKey val="0"/>
          <c:showVal val="1"/>
          <c:showCatName val="0"/>
          <c:showSerName val="0"/>
          <c:showPercent val="0"/>
          <c:showBubbleSize val="0"/>
        </c:dLbls>
        <c:gapWidth val="219"/>
        <c:overlap val="-27"/>
        <c:axId val="1532018496"/>
        <c:axId val="1532022336"/>
      </c:barChart>
      <c:catAx>
        <c:axId val="15320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22336"/>
        <c:crosses val="autoZero"/>
        <c:auto val="1"/>
        <c:lblAlgn val="ctr"/>
        <c:lblOffset val="100"/>
        <c:noMultiLvlLbl val="0"/>
      </c:catAx>
      <c:valAx>
        <c:axId val="1532022336"/>
        <c:scaling>
          <c:orientation val="minMax"/>
        </c:scaling>
        <c:delete val="1"/>
        <c:axPos val="l"/>
        <c:numFmt formatCode="0.0" sourceLinked="1"/>
        <c:majorTickMark val="none"/>
        <c:minorTickMark val="none"/>
        <c:tickLblPos val="nextTo"/>
        <c:crossAx val="1532018496"/>
        <c:crosses val="autoZero"/>
        <c:crossBetween val="between"/>
      </c:valAx>
      <c:spPr>
        <a:noFill/>
        <a:ln>
          <a:noFill/>
        </a:ln>
        <a:effectLst/>
      </c:spPr>
    </c:plotArea>
    <c:legend>
      <c:legendPos val="r"/>
      <c:layout>
        <c:manualLayout>
          <c:xMode val="edge"/>
          <c:yMode val="edge"/>
          <c:x val="0.81697465362368193"/>
          <c:y val="0.12580328021531043"/>
          <c:w val="0.16582104238778128"/>
          <c:h val="0.24751318130326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tables!PivotTable2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tables'!$A$16:$A$23</c:f>
              <c:strCache>
                <c:ptCount val="7"/>
                <c:pt idx="0">
                  <c:v>East Asia &amp; Pacific</c:v>
                </c:pt>
                <c:pt idx="1">
                  <c:v>Europe &amp; Central Asia</c:v>
                </c:pt>
                <c:pt idx="2">
                  <c:v>Latin America &amp; Caribbean</c:v>
                </c:pt>
                <c:pt idx="3">
                  <c:v>Middle East, North Africa, Afghanistan &amp; Pakistan</c:v>
                </c:pt>
                <c:pt idx="4">
                  <c:v>North America</c:v>
                </c:pt>
                <c:pt idx="5">
                  <c:v>South Asia</c:v>
                </c:pt>
                <c:pt idx="6">
                  <c:v>Sub-Saharan Africa</c:v>
                </c:pt>
              </c:strCache>
            </c:strRef>
          </c:cat>
          <c:val>
            <c:numRef>
              <c:f>'Pivot tables'!$B$16:$B$23</c:f>
              <c:numCache>
                <c:formatCode>0.0</c:formatCode>
                <c:ptCount val="7"/>
                <c:pt idx="0">
                  <c:v>98.762839487315318</c:v>
                </c:pt>
                <c:pt idx="1">
                  <c:v>100.87348938658374</c:v>
                </c:pt>
                <c:pt idx="2">
                  <c:v>97.211229311052335</c:v>
                </c:pt>
                <c:pt idx="3">
                  <c:v>97.40273398750827</c:v>
                </c:pt>
                <c:pt idx="5">
                  <c:v>113.24584789248497</c:v>
                </c:pt>
                <c:pt idx="6">
                  <c:v>104.69098062756294</c:v>
                </c:pt>
              </c:numCache>
            </c:numRef>
          </c:val>
          <c:extLst>
            <c:ext xmlns:c16="http://schemas.microsoft.com/office/drawing/2014/chart" uri="{C3380CC4-5D6E-409C-BE32-E72D297353CC}">
              <c16:uniqueId val="{00000000-4EB0-40AF-8547-0A6DBBB755B7}"/>
            </c:ext>
          </c:extLst>
        </c:ser>
        <c:dLbls>
          <c:dLblPos val="outEnd"/>
          <c:showLegendKey val="0"/>
          <c:showVal val="1"/>
          <c:showCatName val="0"/>
          <c:showSerName val="0"/>
          <c:showPercent val="0"/>
          <c:showBubbleSize val="0"/>
        </c:dLbls>
        <c:gapWidth val="182"/>
        <c:axId val="1531994016"/>
        <c:axId val="1531994496"/>
      </c:barChart>
      <c:catAx>
        <c:axId val="153199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94496"/>
        <c:crosses val="autoZero"/>
        <c:auto val="1"/>
        <c:lblAlgn val="ctr"/>
        <c:lblOffset val="100"/>
        <c:noMultiLvlLbl val="0"/>
      </c:catAx>
      <c:valAx>
        <c:axId val="1531994496"/>
        <c:scaling>
          <c:orientation val="minMax"/>
        </c:scaling>
        <c:delete val="1"/>
        <c:axPos val="b"/>
        <c:numFmt formatCode="0.0" sourceLinked="1"/>
        <c:majorTickMark val="none"/>
        <c:minorTickMark val="none"/>
        <c:tickLblPos val="nextTo"/>
        <c:crossAx val="153199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tables!PivotTable3</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tables'!$B$31:$B$32</c:f>
              <c:strCache>
                <c:ptCount val="1"/>
                <c:pt idx="0">
                  <c:v>A</c:v>
                </c:pt>
              </c:strCache>
            </c:strRef>
          </c:tx>
          <c:spPr>
            <a:ln w="28575" cap="rnd">
              <a:solidFill>
                <a:schemeClr val="accent1"/>
              </a:solidFill>
              <a:round/>
            </a:ln>
            <a:effectLst/>
          </c:spPr>
          <c:marker>
            <c:symbol val="none"/>
          </c:marker>
          <c:cat>
            <c:strRef>
              <c:f>'Pivot tables'!$A$33:$A$35</c:f>
              <c:strCache>
                <c:ptCount val="3"/>
                <c:pt idx="0">
                  <c:v>Average of 2024</c:v>
                </c:pt>
                <c:pt idx="1">
                  <c:v>Average of 2023</c:v>
                </c:pt>
                <c:pt idx="2">
                  <c:v>Average of 2022</c:v>
                </c:pt>
              </c:strCache>
            </c:strRef>
          </c:cat>
          <c:val>
            <c:numRef>
              <c:f>'Pivot tables'!$B$33:$B$35</c:f>
              <c:numCache>
                <c:formatCode>0.0</c:formatCode>
                <c:ptCount val="3"/>
                <c:pt idx="0">
                  <c:v>100.12322479415225</c:v>
                </c:pt>
                <c:pt idx="1">
                  <c:v>100.86288008475887</c:v>
                </c:pt>
                <c:pt idx="2">
                  <c:v>100.73982681469549</c:v>
                </c:pt>
              </c:numCache>
            </c:numRef>
          </c:val>
          <c:smooth val="0"/>
          <c:extLst>
            <c:ext xmlns:c16="http://schemas.microsoft.com/office/drawing/2014/chart" uri="{C3380CC4-5D6E-409C-BE32-E72D297353CC}">
              <c16:uniqueId val="{00000000-6BF6-4A26-AE64-9B5589E0783E}"/>
            </c:ext>
          </c:extLst>
        </c:ser>
        <c:ser>
          <c:idx val="1"/>
          <c:order val="1"/>
          <c:tx>
            <c:strRef>
              <c:f>'Pivot tables'!$C$31:$C$32</c:f>
              <c:strCache>
                <c:ptCount val="1"/>
                <c:pt idx="0">
                  <c:v>B</c:v>
                </c:pt>
              </c:strCache>
            </c:strRef>
          </c:tx>
          <c:spPr>
            <a:ln w="28575" cap="rnd">
              <a:solidFill>
                <a:schemeClr val="accent2"/>
              </a:solidFill>
              <a:round/>
            </a:ln>
            <a:effectLst/>
          </c:spPr>
          <c:marker>
            <c:symbol val="none"/>
          </c:marker>
          <c:cat>
            <c:strRef>
              <c:f>'Pivot tables'!$A$33:$A$35</c:f>
              <c:strCache>
                <c:ptCount val="3"/>
                <c:pt idx="0">
                  <c:v>Average of 2024</c:v>
                </c:pt>
                <c:pt idx="1">
                  <c:v>Average of 2023</c:v>
                </c:pt>
                <c:pt idx="2">
                  <c:v>Average of 2022</c:v>
                </c:pt>
              </c:strCache>
            </c:strRef>
          </c:cat>
          <c:val>
            <c:numRef>
              <c:f>'Pivot tables'!$C$33:$C$35</c:f>
              <c:numCache>
                <c:formatCode>0.0</c:formatCode>
                <c:ptCount val="3"/>
                <c:pt idx="0">
                  <c:v>103.45847891071236</c:v>
                </c:pt>
                <c:pt idx="1">
                  <c:v>99.274302534114753</c:v>
                </c:pt>
                <c:pt idx="2">
                  <c:v>100.92852339254382</c:v>
                </c:pt>
              </c:numCache>
            </c:numRef>
          </c:val>
          <c:smooth val="0"/>
          <c:extLst>
            <c:ext xmlns:c16="http://schemas.microsoft.com/office/drawing/2014/chart" uri="{C3380CC4-5D6E-409C-BE32-E72D297353CC}">
              <c16:uniqueId val="{00000001-6BF6-4A26-AE64-9B5589E0783E}"/>
            </c:ext>
          </c:extLst>
        </c:ser>
        <c:ser>
          <c:idx val="2"/>
          <c:order val="2"/>
          <c:tx>
            <c:strRef>
              <c:f>'Pivot tables'!$D$31:$D$32</c:f>
              <c:strCache>
                <c:ptCount val="1"/>
                <c:pt idx="0">
                  <c:v>C</c:v>
                </c:pt>
              </c:strCache>
            </c:strRef>
          </c:tx>
          <c:spPr>
            <a:ln w="28575" cap="rnd">
              <a:solidFill>
                <a:schemeClr val="accent3"/>
              </a:solidFill>
              <a:round/>
            </a:ln>
            <a:effectLst/>
          </c:spPr>
          <c:marker>
            <c:symbol val="none"/>
          </c:marker>
          <c:cat>
            <c:strRef>
              <c:f>'Pivot tables'!$A$33:$A$35</c:f>
              <c:strCache>
                <c:ptCount val="3"/>
                <c:pt idx="0">
                  <c:v>Average of 2024</c:v>
                </c:pt>
                <c:pt idx="1">
                  <c:v>Average of 2023</c:v>
                </c:pt>
                <c:pt idx="2">
                  <c:v>Average of 2022</c:v>
                </c:pt>
              </c:strCache>
            </c:strRef>
          </c:cat>
          <c:val>
            <c:numRef>
              <c:f>'Pivot tables'!$D$33:$D$35</c:f>
              <c:numCache>
                <c:formatCode>0.0</c:formatCode>
                <c:ptCount val="3"/>
                <c:pt idx="0">
                  <c:v>99.270864508698807</c:v>
                </c:pt>
                <c:pt idx="1">
                  <c:v>100.48143615023771</c:v>
                </c:pt>
                <c:pt idx="2">
                  <c:v>100.45728439103871</c:v>
                </c:pt>
              </c:numCache>
            </c:numRef>
          </c:val>
          <c:smooth val="0"/>
          <c:extLst>
            <c:ext xmlns:c16="http://schemas.microsoft.com/office/drawing/2014/chart" uri="{C3380CC4-5D6E-409C-BE32-E72D297353CC}">
              <c16:uniqueId val="{00000002-6BF6-4A26-AE64-9B5589E0783E}"/>
            </c:ext>
          </c:extLst>
        </c:ser>
        <c:dLbls>
          <c:showLegendKey val="0"/>
          <c:showVal val="0"/>
          <c:showCatName val="0"/>
          <c:showSerName val="0"/>
          <c:showPercent val="0"/>
          <c:showBubbleSize val="0"/>
        </c:dLbls>
        <c:smooth val="0"/>
        <c:axId val="1532004576"/>
        <c:axId val="1532006016"/>
      </c:lineChart>
      <c:catAx>
        <c:axId val="153200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06016"/>
        <c:crosses val="autoZero"/>
        <c:auto val="1"/>
        <c:lblAlgn val="ctr"/>
        <c:lblOffset val="100"/>
        <c:noMultiLvlLbl val="0"/>
      </c:catAx>
      <c:valAx>
        <c:axId val="1532006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00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[1-Module 5 - Execise 1 - Dashboard (1) workdone.xlsx]Pivot fig 4A!PivotTable3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Primary School Enrolment by Income Level (2021–2024)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3696682464454975E-2"/>
              <c:y val="5.617977528089880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7.8988941548183249E-3"/>
              <c:y val="1.8726591760299626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2.5671406003159557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3696682464454975E-2"/>
              <c:y val="2.996254681647933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1.9747235387045814E-2"/>
              <c:y val="3.745318352059918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184834123222756E-2"/>
              <c:y val="1.498127340823963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layout>
            <c:manualLayout>
              <c:x val="9.8736176935228341E-3"/>
              <c:y val="0"/>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9620853080568794E-2"/>
              <c:y val="2.996254681647940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dLbl>
          <c:idx val="0"/>
          <c:layout>
            <c:manualLayout>
              <c:x val="1.1848341232227343E-2"/>
              <c:y val="2.247191011235955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71727244696132E-2"/>
          <c:y val="0.23954879235601167"/>
          <c:w val="0.74137580939918324"/>
          <c:h val="0.57255654840897696"/>
        </c:manualLayout>
      </c:layout>
      <c:barChart>
        <c:barDir val="col"/>
        <c:grouping val="clustered"/>
        <c:varyColors val="0"/>
        <c:ser>
          <c:idx val="0"/>
          <c:order val="0"/>
          <c:tx>
            <c:strRef>
              <c:f>'Pivot fig 4A'!$B$3</c:f>
              <c:strCache>
                <c:ptCount val="1"/>
                <c:pt idx="0">
                  <c:v>Average of 2021</c:v>
                </c:pt>
              </c:strCache>
            </c:strRef>
          </c:tx>
          <c:spPr>
            <a:solidFill>
              <a:schemeClr val="accent1"/>
            </a:solidFill>
            <a:ln>
              <a:noFill/>
            </a:ln>
            <a:effectLst/>
          </c:spPr>
          <c:invertIfNegative val="0"/>
          <c:dLbls>
            <c:dLbl>
              <c:idx val="0"/>
              <c:layout>
                <c:manualLayout>
                  <c:x val="-2.3696682464454975E-2"/>
                  <c:y val="5.6179775280898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1A-43AC-982E-614AA0F18BD9}"/>
                </c:ext>
              </c:extLst>
            </c:dLbl>
            <c:dLbl>
              <c:idx val="2"/>
              <c:layout>
                <c:manualLayout>
                  <c:x val="-2.3696682464454975E-2"/>
                  <c:y val="2.99625468164793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1A-43AC-982E-614AA0F18BD9}"/>
                </c:ext>
              </c:extLst>
            </c:dLbl>
            <c:dLbl>
              <c:idx val="3"/>
              <c:layout>
                <c:manualLayout>
                  <c:x val="-2.9620853080568794E-2"/>
                  <c:y val="2.99625468164794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61A-43AC-982E-614AA0F18BD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4A'!$B$4:$B$8</c:f>
              <c:numCache>
                <c:formatCode>General</c:formatCode>
                <c:ptCount val="4"/>
                <c:pt idx="0">
                  <c:v>100.34288571877116</c:v>
                </c:pt>
                <c:pt idx="1">
                  <c:v>107.04119377068672</c:v>
                </c:pt>
                <c:pt idx="2">
                  <c:v>98.449858041666488</c:v>
                </c:pt>
                <c:pt idx="3">
                  <c:v>100.97320645060623</c:v>
                </c:pt>
              </c:numCache>
            </c:numRef>
          </c:val>
          <c:extLst>
            <c:ext xmlns:c16="http://schemas.microsoft.com/office/drawing/2014/chart" uri="{C3380CC4-5D6E-409C-BE32-E72D297353CC}">
              <c16:uniqueId val="{00000000-661A-43AC-982E-614AA0F18BD9}"/>
            </c:ext>
          </c:extLst>
        </c:ser>
        <c:ser>
          <c:idx val="1"/>
          <c:order val="1"/>
          <c:tx>
            <c:strRef>
              <c:f>'Pivot fig 4A'!$C$3</c:f>
              <c:strCache>
                <c:ptCount val="1"/>
                <c:pt idx="0">
                  <c:v>Average of 2022</c:v>
                </c:pt>
              </c:strCache>
            </c:strRef>
          </c:tx>
          <c:spPr>
            <a:solidFill>
              <a:schemeClr val="accent2"/>
            </a:solidFill>
            <a:ln>
              <a:noFill/>
            </a:ln>
            <a:effectLst/>
          </c:spPr>
          <c:invertIfNegative val="0"/>
          <c:dLbls>
            <c:dLbl>
              <c:idx val="2"/>
              <c:layout>
                <c:manualLayout>
                  <c:x val="-1.184834123222756E-2"/>
                  <c:y val="1.49812734082396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1A-43AC-982E-614AA0F18BD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4A'!$C$4:$C$8</c:f>
              <c:numCache>
                <c:formatCode>General</c:formatCode>
                <c:ptCount val="4"/>
                <c:pt idx="0">
                  <c:v>100.18913591358793</c:v>
                </c:pt>
                <c:pt idx="1">
                  <c:v>105.68035697061055</c:v>
                </c:pt>
                <c:pt idx="2">
                  <c:v>99.451074784177877</c:v>
                </c:pt>
                <c:pt idx="3">
                  <c:v>100.99848636088637</c:v>
                </c:pt>
              </c:numCache>
            </c:numRef>
          </c:val>
          <c:extLst>
            <c:ext xmlns:c16="http://schemas.microsoft.com/office/drawing/2014/chart" uri="{C3380CC4-5D6E-409C-BE32-E72D297353CC}">
              <c16:uniqueId val="{00000001-661A-43AC-982E-614AA0F18BD9}"/>
            </c:ext>
          </c:extLst>
        </c:ser>
        <c:ser>
          <c:idx val="2"/>
          <c:order val="2"/>
          <c:tx>
            <c:strRef>
              <c:f>'Pivot fig 4A'!$D$3</c:f>
              <c:strCache>
                <c:ptCount val="1"/>
                <c:pt idx="0">
                  <c:v>Average of 2023</c:v>
                </c:pt>
              </c:strCache>
            </c:strRef>
          </c:tx>
          <c:spPr>
            <a:solidFill>
              <a:schemeClr val="accent3"/>
            </a:solidFill>
            <a:ln>
              <a:noFill/>
            </a:ln>
            <a:effectLst/>
          </c:spPr>
          <c:invertIfNegative val="0"/>
          <c:dLbls>
            <c:dLbl>
              <c:idx val="0"/>
              <c:layout>
                <c:manualLayout>
                  <c:x val="2.5671406003159557E-2"/>
                  <c:y val="1.49812734082396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1A-43AC-982E-614AA0F18BD9}"/>
                </c:ext>
              </c:extLst>
            </c:dLbl>
            <c:dLbl>
              <c:idx val="2"/>
              <c:layout>
                <c:manualLayout>
                  <c:x val="9.873617693522834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1A-43AC-982E-614AA0F18BD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4A'!$D$4:$D$8</c:f>
              <c:numCache>
                <c:formatCode>General</c:formatCode>
                <c:ptCount val="4"/>
                <c:pt idx="0">
                  <c:v>100.97785962274577</c:v>
                </c:pt>
                <c:pt idx="1">
                  <c:v>101.40254667126887</c:v>
                </c:pt>
                <c:pt idx="2">
                  <c:v>98.791340662023444</c:v>
                </c:pt>
                <c:pt idx="3">
                  <c:v>99.952683656490578</c:v>
                </c:pt>
              </c:numCache>
            </c:numRef>
          </c:val>
          <c:extLst>
            <c:ext xmlns:c16="http://schemas.microsoft.com/office/drawing/2014/chart" uri="{C3380CC4-5D6E-409C-BE32-E72D297353CC}">
              <c16:uniqueId val="{00000002-661A-43AC-982E-614AA0F18BD9}"/>
            </c:ext>
          </c:extLst>
        </c:ser>
        <c:ser>
          <c:idx val="3"/>
          <c:order val="3"/>
          <c:tx>
            <c:strRef>
              <c:f>'Pivot fig 4A'!$E$3</c:f>
              <c:strCache>
                <c:ptCount val="1"/>
                <c:pt idx="0">
                  <c:v>Average of 2024</c:v>
                </c:pt>
              </c:strCache>
            </c:strRef>
          </c:tx>
          <c:spPr>
            <a:solidFill>
              <a:schemeClr val="accent4"/>
            </a:solidFill>
            <a:ln>
              <a:noFill/>
            </a:ln>
            <a:effectLst/>
          </c:spPr>
          <c:invertIfNegative val="0"/>
          <c:dLbls>
            <c:dLbl>
              <c:idx val="0"/>
              <c:layout>
                <c:manualLayout>
                  <c:x val="7.8988941548183249E-3"/>
                  <c:y val="1.87265917602996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1A-43AC-982E-614AA0F18BD9}"/>
                </c:ext>
              </c:extLst>
            </c:dLbl>
            <c:dLbl>
              <c:idx val="2"/>
              <c:layout>
                <c:manualLayout>
                  <c:x val="1.9747235387045814E-2"/>
                  <c:y val="3.74531835205991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1A-43AC-982E-614AA0F18BD9}"/>
                </c:ext>
              </c:extLst>
            </c:dLbl>
            <c:dLbl>
              <c:idx val="3"/>
              <c:layout>
                <c:manualLayout>
                  <c:x val="1.1848341232227343E-2"/>
                  <c:y val="2.2471910112359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61A-43AC-982E-614AA0F18BD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fig 4A'!$A$4:$A$8</c:f>
              <c:strCache>
                <c:ptCount val="4"/>
                <c:pt idx="0">
                  <c:v>High income</c:v>
                </c:pt>
                <c:pt idx="1">
                  <c:v>Low income</c:v>
                </c:pt>
                <c:pt idx="2">
                  <c:v>Lower middle income</c:v>
                </c:pt>
                <c:pt idx="3">
                  <c:v>Upper middle income</c:v>
                </c:pt>
              </c:strCache>
            </c:strRef>
          </c:cat>
          <c:val>
            <c:numRef>
              <c:f>'Pivot fig 4A'!$E$4:$E$8</c:f>
              <c:numCache>
                <c:formatCode>General</c:formatCode>
                <c:ptCount val="4"/>
                <c:pt idx="0">
                  <c:v>99.233337740884451</c:v>
                </c:pt>
                <c:pt idx="1">
                  <c:v>110.01348841211565</c:v>
                </c:pt>
                <c:pt idx="2">
                  <c:v>99.021003010340081</c:v>
                </c:pt>
                <c:pt idx="3">
                  <c:v>100.35202207023126</c:v>
                </c:pt>
              </c:numCache>
            </c:numRef>
          </c:val>
          <c:extLst>
            <c:ext xmlns:c16="http://schemas.microsoft.com/office/drawing/2014/chart" uri="{C3380CC4-5D6E-409C-BE32-E72D297353CC}">
              <c16:uniqueId val="{00000003-661A-43AC-982E-614AA0F18BD9}"/>
            </c:ext>
          </c:extLst>
        </c:ser>
        <c:dLbls>
          <c:dLblPos val="outEnd"/>
          <c:showLegendKey val="0"/>
          <c:showVal val="1"/>
          <c:showCatName val="0"/>
          <c:showSerName val="0"/>
          <c:showPercent val="0"/>
          <c:showBubbleSize val="0"/>
        </c:dLbls>
        <c:gapWidth val="219"/>
        <c:axId val="192811599"/>
        <c:axId val="165233071"/>
      </c:barChart>
      <c:catAx>
        <c:axId val="192811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33071"/>
        <c:crosses val="autoZero"/>
        <c:auto val="1"/>
        <c:lblAlgn val="ctr"/>
        <c:lblOffset val="100"/>
        <c:noMultiLvlLbl val="0"/>
      </c:catAx>
      <c:valAx>
        <c:axId val="1652330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Enrolment (% Gross)</a:t>
                </a:r>
                <a:endParaRPr lang="en-US"/>
              </a:p>
            </c:rich>
          </c:tx>
          <c:layout>
            <c:manualLayout>
              <c:xMode val="edge"/>
              <c:yMode val="edge"/>
              <c:x val="2.7777777777777776E-2"/>
              <c:y val="0.235923738699329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crossAx val="19281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315878</xdr:colOff>
      <xdr:row>23</xdr:row>
      <xdr:rowOff>116632</xdr:rowOff>
    </xdr:from>
    <xdr:to>
      <xdr:col>14</xdr:col>
      <xdr:colOff>111773</xdr:colOff>
      <xdr:row>39</xdr:row>
      <xdr:rowOff>19438</xdr:rowOff>
    </xdr:to>
    <xdr:graphicFrame macro="">
      <xdr:nvGraphicFramePr>
        <xdr:cNvPr id="7" name="Chart 6">
          <a:extLst>
            <a:ext uri="{FF2B5EF4-FFF2-40B4-BE49-F238E27FC236}">
              <a16:creationId xmlns:a16="http://schemas.microsoft.com/office/drawing/2014/main" id="{CDDB40BC-C02F-4628-B1AC-82440382A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369337</xdr:colOff>
      <xdr:row>7</xdr:row>
      <xdr:rowOff>82615</xdr:rowOff>
    </xdr:from>
    <xdr:to>
      <xdr:col>10</xdr:col>
      <xdr:colOff>63176</xdr:colOff>
      <xdr:row>23</xdr:row>
      <xdr:rowOff>9719</xdr:rowOff>
    </xdr:to>
    <xdr:graphicFrame macro="">
      <xdr:nvGraphicFramePr>
        <xdr:cNvPr id="11" name="Chart 10">
          <a:extLst>
            <a:ext uri="{FF2B5EF4-FFF2-40B4-BE49-F238E27FC236}">
              <a16:creationId xmlns:a16="http://schemas.microsoft.com/office/drawing/2014/main" id="{3823D115-4A23-49D1-866B-A54F6020E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189527</xdr:colOff>
      <xdr:row>7</xdr:row>
      <xdr:rowOff>72895</xdr:rowOff>
    </xdr:from>
    <xdr:to>
      <xdr:col>14</xdr:col>
      <xdr:colOff>29157</xdr:colOff>
      <xdr:row>13</xdr:row>
      <xdr:rowOff>9719</xdr:rowOff>
    </xdr:to>
    <mc:AlternateContent xmlns:mc="http://schemas.openxmlformats.org/markup-compatibility/2006" xmlns:a14="http://schemas.microsoft.com/office/drawing/2010/main">
      <mc:Choice Requires="a14">
        <xdr:graphicFrame macro="">
          <xdr:nvGraphicFramePr>
            <xdr:cNvPr id="12" name="Region 3">
              <a:extLst>
                <a:ext uri="{FF2B5EF4-FFF2-40B4-BE49-F238E27FC236}">
                  <a16:creationId xmlns:a16="http://schemas.microsoft.com/office/drawing/2014/main" id="{C1C69B73-490D-4FB0-94DF-B15D3F2FA08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652920" y="1331556"/>
              <a:ext cx="2424987" cy="1015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140543</xdr:colOff>
      <xdr:row>13</xdr:row>
      <xdr:rowOff>39656</xdr:rowOff>
    </xdr:from>
    <xdr:to>
      <xdr:col>13</xdr:col>
      <xdr:colOff>584135</xdr:colOff>
      <xdr:row>22</xdr:row>
      <xdr:rowOff>174950</xdr:rowOff>
    </xdr:to>
    <mc:AlternateContent xmlns:mc="http://schemas.openxmlformats.org/markup-compatibility/2006">
      <mc:Choice xmlns:a14="http://schemas.microsoft.com/office/drawing/2010/main" Requires="a14">
        <xdr:graphicFrame macro="">
          <xdr:nvGraphicFramePr>
            <xdr:cNvPr id="13" name="Income Level">
              <a:extLst>
                <a:ext uri="{FF2B5EF4-FFF2-40B4-BE49-F238E27FC236}">
                  <a16:creationId xmlns:a16="http://schemas.microsoft.com/office/drawing/2014/main" id="{1B879A51-40A7-9C46-3015-5DF5B3778334}"/>
                </a:ext>
              </a:extLst>
            </xdr:cNvPr>
            <xdr:cNvGraphicFramePr/>
          </xdr:nvGraphicFramePr>
          <xdr:xfrm>
            <a:off x="0" y="0"/>
            <a:ext cx="0" cy="0"/>
          </xdr:xfrm>
          <a:graphic>
            <a:graphicData uri="http://schemas.microsoft.com/office/drawing/2010/slicer">
              <sle:slicer xmlns:sle="http://schemas.microsoft.com/office/drawing/2010/slicer" name="Income Level"/>
            </a:graphicData>
          </a:graphic>
        </xdr:graphicFrame>
      </mc:Choice>
      <mc:Fallback>
        <xdr:sp macro="" textlink="">
          <xdr:nvSpPr>
            <xdr:cNvPr id="0" name=""/>
            <xdr:cNvSpPr>
              <a:spLocks noTextEdit="1"/>
            </xdr:cNvSpPr>
          </xdr:nvSpPr>
          <xdr:spPr>
            <a:xfrm>
              <a:off x="6283196" y="2465615"/>
              <a:ext cx="2286388" cy="1814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359616</xdr:colOff>
      <xdr:row>23</xdr:row>
      <xdr:rowOff>136072</xdr:rowOff>
    </xdr:from>
    <xdr:to>
      <xdr:col>6</xdr:col>
      <xdr:colOff>218685</xdr:colOff>
      <xdr:row>38</xdr:row>
      <xdr:rowOff>174949</xdr:rowOff>
    </xdr:to>
    <xdr:graphicFrame macro="">
      <xdr:nvGraphicFramePr>
        <xdr:cNvPr id="14" name="Chart 13">
          <a:extLst>
            <a:ext uri="{FF2B5EF4-FFF2-40B4-BE49-F238E27FC236}">
              <a16:creationId xmlns:a16="http://schemas.microsoft.com/office/drawing/2014/main" id="{8EF71D37-D92B-49D9-BDD6-3F35ABEA5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590938</xdr:colOff>
      <xdr:row>23</xdr:row>
      <xdr:rowOff>54428</xdr:rowOff>
    </xdr:from>
    <xdr:to>
      <xdr:col>28</xdr:col>
      <xdr:colOff>248815</xdr:colOff>
      <xdr:row>39</xdr:row>
      <xdr:rowOff>31102</xdr:rowOff>
    </xdr:to>
    <xdr:graphicFrame macro="">
      <xdr:nvGraphicFramePr>
        <xdr:cNvPr id="2" name="Chart 1">
          <a:extLst>
            <a:ext uri="{FF2B5EF4-FFF2-40B4-BE49-F238E27FC236}">
              <a16:creationId xmlns:a16="http://schemas.microsoft.com/office/drawing/2014/main" id="{9A96869D-24EB-4E0E-A6BB-0E872EF10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77756</xdr:colOff>
      <xdr:row>23</xdr:row>
      <xdr:rowOff>101081</xdr:rowOff>
    </xdr:from>
    <xdr:to>
      <xdr:col>21</xdr:col>
      <xdr:colOff>108859</xdr:colOff>
      <xdr:row>39</xdr:row>
      <xdr:rowOff>7775</xdr:rowOff>
    </xdr:to>
    <xdr:graphicFrame macro="">
      <xdr:nvGraphicFramePr>
        <xdr:cNvPr id="3" name="Chart 2">
          <a:extLst>
            <a:ext uri="{FF2B5EF4-FFF2-40B4-BE49-F238E27FC236}">
              <a16:creationId xmlns:a16="http://schemas.microsoft.com/office/drawing/2014/main" id="{17FA8B48-14FC-4F79-97F8-546066D0E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139959</xdr:colOff>
      <xdr:row>5</xdr:row>
      <xdr:rowOff>38877</xdr:rowOff>
    </xdr:from>
    <xdr:to>
      <xdr:col>24</xdr:col>
      <xdr:colOff>428586</xdr:colOff>
      <xdr:row>23</xdr:row>
      <xdr:rowOff>70756</xdr:rowOff>
    </xdr:to>
    <xdr:graphicFrame macro="">
      <xdr:nvGraphicFramePr>
        <xdr:cNvPr id="4" name="Chart 3">
          <a:extLst>
            <a:ext uri="{FF2B5EF4-FFF2-40B4-BE49-F238E27FC236}">
              <a16:creationId xmlns:a16="http://schemas.microsoft.com/office/drawing/2014/main" id="{4C96C9EF-8447-4154-B351-3F6AB8CBD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502708</xdr:colOff>
      <xdr:row>3</xdr:row>
      <xdr:rowOff>63500</xdr:rowOff>
    </xdr:from>
    <xdr:to>
      <xdr:col>7</xdr:col>
      <xdr:colOff>169331</xdr:colOff>
      <xdr:row>26</xdr:row>
      <xdr:rowOff>134409</xdr:rowOff>
    </xdr:to>
    <xdr:graphicFrame macro="">
      <xdr:nvGraphicFramePr>
        <xdr:cNvPr id="4" name="Chart 3">
          <a:extLst>
            <a:ext uri="{FF2B5EF4-FFF2-40B4-BE49-F238E27FC236}">
              <a16:creationId xmlns:a16="http://schemas.microsoft.com/office/drawing/2014/main" id="{579AC9D2-0C7A-445B-B93E-911F894F6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249766</xdr:colOff>
      <xdr:row>3</xdr:row>
      <xdr:rowOff>47625</xdr:rowOff>
    </xdr:from>
    <xdr:to>
      <xdr:col>9</xdr:col>
      <xdr:colOff>110066</xdr:colOff>
      <xdr:row>26</xdr:row>
      <xdr:rowOff>137584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C246610-88F8-6924-B94C-06303D4758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88642" y="587375"/>
              <a:ext cx="1828800" cy="4228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462643</xdr:colOff>
      <xdr:row>6</xdr:row>
      <xdr:rowOff>47625</xdr:rowOff>
    </xdr:from>
    <xdr:to>
      <xdr:col>6</xdr:col>
      <xdr:colOff>557893</xdr:colOff>
      <xdr:row>29</xdr:row>
      <xdr:rowOff>6802</xdr:rowOff>
    </xdr:to>
    <xdr:graphicFrame macro="">
      <xdr:nvGraphicFramePr>
        <xdr:cNvPr id="3" name="Chart 2">
          <a:extLst>
            <a:ext uri="{FF2B5EF4-FFF2-40B4-BE49-F238E27FC236}">
              <a16:creationId xmlns:a16="http://schemas.microsoft.com/office/drawing/2014/main" id="{AE1BB7BB-7E05-4BC1-BEC2-34CCD3409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-1</xdr:rowOff>
    </xdr:from>
    <xdr:to>
      <xdr:col>14</xdr:col>
      <xdr:colOff>357188</xdr:colOff>
      <xdr:row>42</xdr:row>
      <xdr:rowOff>29765</xdr:rowOff>
    </xdr:to>
    <xdr:graphicFrame macro="">
      <xdr:nvGraphicFramePr>
        <xdr:cNvPr id="4" name="Chart 3">
          <a:extLst>
            <a:ext uri="{FF2B5EF4-FFF2-40B4-BE49-F238E27FC236}">
              <a16:creationId xmlns:a16="http://schemas.microsoft.com/office/drawing/2014/main" id="{BABF12C2-694A-4D98-A62B-DF24C511E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929640</xdr:colOff>
      <xdr:row>8</xdr:row>
      <xdr:rowOff>76200</xdr:rowOff>
    </xdr:from>
    <xdr:to>
      <xdr:col>13</xdr:col>
      <xdr:colOff>259080</xdr:colOff>
      <xdr:row>26</xdr:row>
      <xdr:rowOff>175260</xdr:rowOff>
    </xdr:to>
    <xdr:graphicFrame macro="">
      <xdr:nvGraphicFramePr>
        <xdr:cNvPr id="3" name="Chart 2">
          <a:extLst>
            <a:ext uri="{FF2B5EF4-FFF2-40B4-BE49-F238E27FC236}">
              <a16:creationId xmlns:a16="http://schemas.microsoft.com/office/drawing/2014/main" id="{7173E587-CC23-8739-5FC1-49BC45F99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 Gul" refreshedDate="46104.811713773146" createdVersion="8" refreshedVersion="8" minRefreshableVersion="3" recordCount="215" xr:uid="{56BA83C0-5EA4-4151-91CA-1A76C0A7E78C}">
  <cacheSource type="worksheet">
    <worksheetSource name="Table6"/>
  </cacheSource>
  <cacheFields count="9">
    <cacheField name="Country Name" numFmtId="0">
      <sharedItems count="215">
        <s v="Afghanistan"/>
        <s v="Albania"/>
        <s v="Algeria"/>
        <s v="American Samoa"/>
        <s v="Andorra"/>
        <s v="Angola"/>
        <s v="Antigua and Barbuda"/>
        <s v="Argentina"/>
        <s v="Armenia"/>
        <s v="Aruba"/>
        <s v="Australia"/>
        <s v="Austria"/>
        <s v="Azerbaijan"/>
        <s v="Bahamas, The"/>
        <s v="Bahrain"/>
        <s v="Bangladesh"/>
        <s v="Barbados"/>
        <s v="Belarus"/>
        <s v="Belgium"/>
        <s v="Belize"/>
        <s v="Benin"/>
        <s v="Bermuda"/>
        <s v="Bhutan"/>
        <s v="Bolivia"/>
        <s v="Bosnia and Herzegovina"/>
        <s v="Botswana"/>
        <s v="Brazil"/>
        <s v="British Virgin Islands"/>
        <s v="Brunei Darussalam"/>
        <s v="Bulgaria"/>
        <s v="Burkina Faso"/>
        <s v="Burundi"/>
        <s v="Cabo Verde"/>
        <s v="Cambodia"/>
        <s v="Cameroon"/>
        <s v="Canada"/>
        <s v="Cayman Islands"/>
        <s v="Central African Republic"/>
        <s v="Chad"/>
        <s v="Channel Islands"/>
        <s v="Chile"/>
        <s v="China"/>
        <s v="Colombia"/>
        <s v="Comoros"/>
        <s v="Congo, Dem. Rep."/>
        <s v="Congo, Rep."/>
        <s v="Costa Rica"/>
        <s v="Cote d'Ivoire"/>
        <s v="Croatia"/>
        <s v="Cuba"/>
        <s v="Curacao"/>
        <s v="Cyprus"/>
        <s v="Czechia"/>
        <s v="Denmark"/>
        <s v="Djibouti"/>
        <s v="Dominica"/>
        <s v="Dominican Republic"/>
        <s v="Ecuador"/>
        <s v="Egypt, Arab Rep."/>
        <s v="El Salvador"/>
        <s v="Equatorial Guinea"/>
        <s v="Eritrea"/>
        <s v="Estonia"/>
        <s v="Eswatini"/>
        <s v="Ethiopia"/>
        <s v="Faroe Islands"/>
        <s v="Fiji"/>
        <s v="Finland"/>
        <s v="France"/>
        <s v="French Polynesia"/>
        <s v="Gabon"/>
        <s v="Gambia, The"/>
        <s v="Georgia"/>
        <s v="Germany"/>
        <s v="Ghana"/>
        <s v="Gibraltar"/>
        <s v="Greece"/>
        <s v="Greenland"/>
        <s v="Grenada"/>
        <s v="Guam"/>
        <s v="Guatemala"/>
        <s v="Guinea"/>
        <s v="Guinea-Bissau"/>
        <s v="Guyana"/>
        <s v="Haiti"/>
        <s v="Honduras"/>
        <s v="Hong Kong SAR, China"/>
        <s v="Hungary"/>
        <s v="Iceland"/>
        <s v="India"/>
        <s v="Indonesia"/>
        <s v="Iran, Islamic Rep."/>
        <s v="Iraq"/>
        <s v="Ireland"/>
        <s v="Isle of Man"/>
        <s v="Israel"/>
        <s v="Italy"/>
        <s v="Jamaica"/>
        <s v="Japan"/>
        <s v="Jordan"/>
        <s v="Kazakhstan"/>
        <s v="Kenya"/>
        <s v="Kiribati"/>
        <s v="Korea, Dem. People's Rep."/>
        <s v="Korea, Rep."/>
        <s v="Kosovo"/>
        <s v="Kuwait"/>
        <s v="Kyrgyz Republic"/>
        <s v="Lao PDR"/>
        <s v="Latvia"/>
        <s v="Lebanon"/>
        <s v="Lesotho"/>
        <s v="Liberia"/>
        <s v="Libya"/>
        <s v="Liechtenstein"/>
        <s v="Lithuania"/>
        <s v="Luxembourg"/>
        <s v="Macao SAR, China"/>
        <s v="Madagascar"/>
        <s v="Malawi"/>
        <s v="Malaysia"/>
        <s v="Maldives"/>
        <s v="Mali"/>
        <s v="Malta"/>
        <s v="Marshall Islands"/>
        <s v="Mauritania"/>
        <s v="Mauritius"/>
        <s v="Mexico"/>
        <s v="Micronesia, Fed. Sts."/>
        <s v="Moldova"/>
        <s v="Monaco"/>
        <s v="Mongolia"/>
        <s v="Montenegro"/>
        <s v="Morocco"/>
        <s v="Mozambique"/>
        <s v="Myanmar"/>
        <s v="Namibia"/>
        <s v="Nauru"/>
        <s v="Nepal"/>
        <s v="Netherlands"/>
        <s v="New Caledonia"/>
        <s v="New Zealand"/>
        <s v="Nicaragua"/>
        <s v="Niger"/>
        <s v="Nigeria"/>
        <s v="North Macedonia"/>
        <s v="Northern Mariana Islands"/>
        <s v="Norway"/>
        <s v="Oman"/>
        <s v="Pakistan"/>
        <s v="Palau"/>
        <s v="Panama"/>
        <s v="Papua New Guinea"/>
        <s v="Paraguay"/>
        <s v="Peru"/>
        <s v="Philippines"/>
        <s v="Poland"/>
        <s v="Portugal"/>
        <s v="Qatar"/>
        <s v="Romania"/>
        <s v="Russian Federation"/>
        <s v="Rwanda"/>
        <s v="Samoa"/>
        <s v="San Marino"/>
        <s v="Sao Tome and Principe"/>
        <s v="Saudi Arabia"/>
        <s v="Senegal"/>
        <s v="Serbia"/>
        <s v="Seychelles"/>
        <s v="Sierra Leone"/>
        <s v="Singapore"/>
        <s v="Sint Maarten (Dutch part)"/>
        <s v="Slovak Republic"/>
        <s v="Slovenia"/>
        <s v="Solomon Islands"/>
        <s v="Somalia"/>
        <s v="South Sudan"/>
        <s v="Spain"/>
        <s v="Sri Lanka"/>
        <s v="St. Kitts and Nevis"/>
        <s v="St. Lucia"/>
        <s v="St. Martin (French part)"/>
        <s v="St. Vincent and the Grenadines"/>
        <s v="Sudan"/>
        <s v="Suriname"/>
        <s v="Sweden"/>
        <s v="Switzerland"/>
        <s v="Syrian Arab Republic"/>
        <s v="Tajikistan"/>
        <s v="Tanzania"/>
        <s v="Thailand"/>
        <s v="Timor-Leste"/>
        <s v="Togo"/>
        <s v="Tonga"/>
        <s v="Trinidad and Tobago"/>
        <s v="Tunisia"/>
        <s v="Turkiye"/>
        <s v="Turkmenistan"/>
        <s v="Turks and Caicos Islands"/>
        <s v="Tuvalu"/>
        <s v="Uganda"/>
        <s v="Ukraine"/>
        <s v="United Arab Emirates"/>
        <s v="United Kingdom"/>
        <s v="United States"/>
        <s v="Uruguay"/>
        <s v="Uzbekistan"/>
        <s v="Vanuatu"/>
        <s v="Venezuela, RB"/>
        <s v="Viet Nam"/>
        <s v="Virgin Islands (U.S.)"/>
        <s v="West Bank and Gaza"/>
        <s v="Yemen, Rep."/>
        <s v="Zambia"/>
        <s v="Zimbabwe"/>
      </sharedItems>
    </cacheField>
    <cacheField name="2020" numFmtId="0">
      <sharedItems containsString="0" containsBlank="1" containsNumber="1" minValue="70.377151489257798" maxValue="142.79212464763901"/>
    </cacheField>
    <cacheField name="2021" numFmtId="0">
      <sharedItems containsString="0" containsBlank="1" containsNumber="1" minValue="65.864245185740998" maxValue="157.70975757600101"/>
    </cacheField>
    <cacheField name="2022" numFmtId="0">
      <sharedItems containsString="0" containsBlank="1" containsNumber="1" minValue="66.253971911859907" maxValue="163.17355466705499" count="162">
        <m/>
        <n v="96.371229930475707"/>
        <n v="105.74715363116"/>
        <n v="90.465680865151199"/>
        <n v="121.563206835888"/>
        <n v="106.75982666015599"/>
        <n v="96.945429655901904"/>
        <n v="102.620727539062"/>
        <n v="99.132987976074205"/>
        <n v="100.77562713623"/>
        <n v="99.808297724414302"/>
        <n v="96.992729117348702"/>
        <n v="107.802066750685"/>
        <n v="90.187531677648295"/>
        <n v="95.430714929186394"/>
        <n v="102.17698669433599"/>
        <n v="101.53137311638901"/>
        <n v="108.036239624023"/>
        <n v="105.26615140534101"/>
        <n v="99.196087887771498"/>
        <n v="101.60450744628901"/>
        <n v="109.27325614686001"/>
        <n v="103.970321655273"/>
        <n v="73.171569824218807"/>
        <n v="99.134912983915996"/>
        <n v="95.888519287109403"/>
        <n v="82.256706432091605"/>
        <n v="102.973013922324"/>
        <n v="106.331544381276"/>
        <n v="112.49463611348401"/>
        <n v="94.744979858398395"/>
        <n v="98.385670057496696"/>
        <n v="87.034731678062798"/>
        <n v="100.192268371582"/>
        <n v="100.09807464465"/>
        <n v="104.83046722412099"/>
        <n v="106.197128295898"/>
        <n v="86.454583878777797"/>
        <n v="100.52797698974599"/>
        <n v="100.580196272572"/>
        <n v="97.001640319824205"/>
        <n v="100.97534942627"/>
        <n v="100.24445343017599"/>
        <n v="100.808761583825"/>
        <n v="100.492291150329"/>
        <n v="99.568014160285401"/>
        <n v="89.510087034028501"/>
        <n v="89.130408950204696"/>
        <n v="89.731246948242202"/>
        <n v="99.263816833496094"/>
        <n v="117.19574076508501"/>
        <n v="84.631773397134495"/>
        <n v="112.260294588848"/>
        <n v="98.6190185546875"/>
        <n v="102.70948791503901"/>
        <n v="97.278172336260795"/>
        <n v="102.727831178351"/>
        <n v="100.218132019043"/>
        <n v="98.231895324704695"/>
        <n v="106.327724945135"/>
        <n v="101.192031860352"/>
        <n v="102.998277778394"/>
        <n v="82.293717197957704"/>
        <n v="103.028312901343"/>
        <n v="103.47647857666"/>
        <n v="98.511642456054702"/>
        <n v="112.073964742492"/>
        <n v="98.700873046361096"/>
        <n v="99.619941711425795"/>
        <n v="96.312568664550795"/>
        <n v="101.56453704834"/>
        <n v="93.268183428768907"/>
        <n v="102.15870666503901"/>
        <n v="98.541267066326"/>
        <n v="99.223902183156994"/>
        <n v="98.551967362000994"/>
        <n v="102.156527494347"/>
        <n v="99.005020141601605"/>
        <n v="96.744287506135095"/>
        <n v="95.698849502487604"/>
        <n v="99.41796875"/>
        <n v="76.454123319365095"/>
        <n v="83.634302243955702"/>
        <n v="66.593925509470594"/>
        <n v="101.90583038330099"/>
        <n v="99.484260559082003"/>
        <n v="84.967667436489606"/>
        <n v="132.887817840118"/>
        <n v="126.58775896295499"/>
        <n v="89.787263097895803"/>
        <n v="96.014742650228499"/>
        <n v="93.534660339355497"/>
        <n v="108.975506359207"/>
        <n v="102.00478363037099"/>
        <n v="87.106332187743405"/>
        <n v="106.97324544397"/>
        <n v="93.347384837329798"/>
        <n v="105.621368408203"/>
        <n v="116.554648725847"/>
        <n v="119.16222522339299"/>
        <n v="120.341925617623"/>
        <n v="101.39037322998"/>
        <n v="121.23480432136699"/>
        <n v="104.215446472168"/>
        <n v="96.5572509765625"/>
        <n v="66.253971911859907"/>
        <n v="97.486656188964801"/>
        <n v="98.966758728027301"/>
        <n v="89.245571441417098"/>
        <n v="78.940024884435203"/>
        <n v="92.014134275618403"/>
        <n v="101.563230633345"/>
        <n v="111.086149294969"/>
        <n v="91.028641566938703"/>
        <n v="114.349319458008"/>
        <n v="90.613143832561093"/>
        <n v="100.594268798828"/>
        <n v="108.103523254395"/>
        <n v="94.197127900154399"/>
        <n v="84.881278991699205"/>
        <n v="100.122558846483"/>
        <n v="148.75248209986299"/>
        <n v="103.30974754162"/>
        <n v="93.9375"/>
        <n v="102.13902539092"/>
        <n v="84.273319827358407"/>
        <n v="96.627967834472699"/>
        <n v="97.765477654776504"/>
        <n v="163.17355466705499"/>
        <n v="99.578037663732403"/>
        <n v="100.32672119140599"/>
        <n v="100.63913726806599"/>
        <n v="102.445991516113"/>
        <n v="92.984646670567798"/>
        <n v="127.689992475545"/>
        <n v="102.964202074272"/>
        <n v="95.297263287524899"/>
        <n v="116.42539215087901"/>
        <n v="101.363067626953"/>
        <n v="72.129676818847699"/>
        <n v="99.966888601605504"/>
        <n v="90.615267228135806"/>
        <n v="104.833004394528"/>
        <n v="119.03671932658099"/>
        <n v="118.42316752898"/>
        <n v="106.53573728267899"/>
        <n v="104.06365203857401"/>
        <n v="102.48770141601599"/>
        <n v="97.810129564193204"/>
        <n v="120.81704711914099"/>
        <n v="110.604870384918"/>
        <n v="92.771163449363399"/>
        <n v="107.28743152738799"/>
        <n v="102.53524017334"/>
        <n v="96.971733093261705"/>
        <n v="108.822761535645"/>
        <n v="93.909978029013899"/>
        <n v="118.36653235534899"/>
        <n v="109.259559631348"/>
        <n v="104.12939278594899"/>
        <n v="91.451637200505999"/>
        <n v="93.165965873193699"/>
      </sharedItems>
    </cacheField>
    <cacheField name="2023" numFmtId="0">
      <sharedItems containsString="0" containsBlank="1" containsNumber="1" minValue="20.915550231933601" maxValue="159.416853770084"/>
    </cacheField>
    <cacheField name="2024" numFmtId="0">
      <sharedItems containsString="0" containsBlank="1" containsNumber="1" minValue="64.6534815281519" maxValue="162.123997594776" count="94">
        <m/>
        <n v="111.51165008544901"/>
        <n v="106.368889468205"/>
        <n v="99.857954545454504"/>
        <n v="101.990554375733"/>
        <n v="107.716996929947"/>
        <n v="105.625024046785"/>
        <n v="92.856648199445999"/>
        <n v="96.875247524752496"/>
        <n v="106.491310395865"/>
        <n v="83.937024079028603"/>
        <n v="96.822403007302398"/>
        <n v="96.481924594192606"/>
        <n v="114.881123575514"/>
        <n v="72.779991149902301"/>
        <n v="77.166592550410797"/>
        <n v="108.97133284966699"/>
        <n v="114.407278765947"/>
        <n v="95.736690965319198"/>
        <n v="88.464521953344999"/>
        <n v="99.644962886981006"/>
        <n v="97.004918997967806"/>
        <n v="93.296436882688198"/>
        <n v="98.109219190307897"/>
        <n v="96.787709497206706"/>
        <n v="101.939084340722"/>
        <n v="96.707386302452207"/>
        <n v="89.880408258856093"/>
        <n v="84.416010208298403"/>
        <n v="110.377230542693"/>
        <n v="98.605883331927402"/>
        <n v="99.356020683988504"/>
        <n v="101.773180642778"/>
        <n v="110.590518436374"/>
        <n v="101.48883125280901"/>
        <n v="97.553595504461597"/>
        <n v="78.969084839008303"/>
        <n v="103.152955896153"/>
        <n v="120.52036856505499"/>
        <n v="100.036318150714"/>
        <n v="98.551624706923803"/>
        <n v="97.536851600588605"/>
        <n v="95.268500327439398"/>
        <n v="98.594956539718595"/>
        <n v="93.851401904713597"/>
        <n v="81.769112409349802"/>
        <n v="80.1830208282055"/>
        <n v="89.810304449648697"/>
        <n v="132.73958355273001"/>
        <n v="139.016258677384"/>
        <n v="90.359558696531707"/>
        <n v="99.7145381635289"/>
        <n v="101.801288405129"/>
        <n v="105.434763333022"/>
        <n v="107.347861424363"/>
        <n v="82.159819898381699"/>
        <n v="107.605837807201"/>
        <n v="120.58309173584"/>
        <n v="92.340078942355206"/>
        <n v="116.588650279809"/>
        <n v="120.719328687086"/>
        <n v="99.566865032559207"/>
        <n v="124.621898762462"/>
        <n v="64.6534815281519"/>
        <n v="83.726068200404001"/>
        <n v="89.438641738679294"/>
        <n v="94.033090638319393"/>
        <n v="149.57218314938899"/>
        <n v="101.043324329961"/>
        <n v="93.530997304582201"/>
        <n v="103.984471859469"/>
        <n v="85.327966956633503"/>
        <n v="93.380058288574205"/>
        <n v="162.123997594776"/>
        <n v="81.844575959610296"/>
        <n v="98.441238403320298"/>
        <n v="96.782295838707498"/>
        <n v="81.411468505859403"/>
        <n v="95.757141161106503"/>
        <n v="92.690265426238099"/>
        <n v="101.00422357360399"/>
        <n v="114.272773524266"/>
        <n v="108.78998609179401"/>
        <n v="95.692177546261902"/>
        <n v="125.059584610146"/>
        <n v="101.138952164009"/>
        <n v="93.306319036135605"/>
        <n v="108.04442061785799"/>
        <n v="94.431670066414895"/>
        <n v="112.491972007523"/>
        <n v="113.693878173828"/>
        <n v="106.332886485835"/>
        <n v="115.550919335782"/>
        <n v="93.077211033441401"/>
      </sharedItems>
    </cacheField>
    <cacheField name="Income Level" numFmtId="0">
      <sharedItems count="4">
        <s v="Low income"/>
        <s v="Upper middle income"/>
        <s v="High income"/>
        <s v="Lower middle income"/>
      </sharedItems>
    </cacheField>
    <cacheField name="Region" numFmtId="0">
      <sharedItems count="7">
        <s v="Middle East, North Africa, Afghanistan &amp; Pakistan"/>
        <s v="Europe &amp; Central Asia"/>
        <s v="East Asia &amp; Pacific"/>
        <s v="Sub-Saharan Africa"/>
        <s v="Latin America &amp; Caribbean"/>
        <s v="South Asia"/>
        <s v="North America"/>
      </sharedItems>
    </cacheField>
    <cacheField name="Hypothetical Metric" numFmtId="0">
      <sharedItems count="3">
        <s v="A"/>
        <s v="B"/>
        <s v="C"/>
      </sharedItems>
    </cacheField>
  </cacheFields>
  <extLst>
    <ext xmlns:x14="http://schemas.microsoft.com/office/spreadsheetml/2009/9/main" uri="{725AE2AE-9491-48be-B2B4-4EB974FC3084}">
      <x14:pivotCacheDefinition pivotCacheId="198188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311.53450509259" createdVersion="8" refreshedVersion="8" minRefreshableVersion="3" recordCount="270" xr:uid="{6A061523-1A6F-42BA-B63E-4CFB7760AA9A}">
  <cacheSource type="worksheet">
    <worksheetSource ref="A1:B1048576" sheet="Raw Data"/>
  </cacheSource>
  <cacheFields count="2">
    <cacheField name="Data Source" numFmtId="0">
      <sharedItems containsBlank="1"/>
    </cacheField>
    <cacheField name="World Development Indicators" numFmtId="0">
      <sharedItems containsDate="1" containsBlank="1" containsMixedTypes="1" minDate="2026-02-24T00:00:00" maxDate="2026-02-25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m/>
    <m/>
    <x v="0"/>
    <m/>
    <x v="0"/>
    <x v="0"/>
    <x v="0"/>
    <x v="0"/>
  </r>
  <r>
    <x v="1"/>
    <n v="100.020970049835"/>
    <n v="97.1075038284839"/>
    <x v="1"/>
    <n v="93.713812013773804"/>
    <x v="1"/>
    <x v="1"/>
    <x v="1"/>
    <x v="1"/>
  </r>
  <r>
    <x v="2"/>
    <n v="108.531941210547"/>
    <n v="104.739764213022"/>
    <x v="2"/>
    <n v="105.84074848087501"/>
    <x v="2"/>
    <x v="1"/>
    <x v="0"/>
    <x v="2"/>
  </r>
  <r>
    <x v="3"/>
    <m/>
    <m/>
    <x v="0"/>
    <m/>
    <x v="0"/>
    <x v="2"/>
    <x v="2"/>
    <x v="0"/>
  </r>
  <r>
    <x v="4"/>
    <n v="89.427127211457503"/>
    <n v="89.737991266375502"/>
    <x v="3"/>
    <n v="97.444672598676704"/>
    <x v="3"/>
    <x v="2"/>
    <x v="1"/>
    <x v="1"/>
  </r>
  <r>
    <x v="5"/>
    <m/>
    <n v="89.226609466132103"/>
    <x v="0"/>
    <n v="86.735391878376703"/>
    <x v="0"/>
    <x v="3"/>
    <x v="3"/>
    <x v="2"/>
  </r>
  <r>
    <x v="6"/>
    <m/>
    <m/>
    <x v="4"/>
    <n v="112.255406797116"/>
    <x v="0"/>
    <x v="2"/>
    <x v="4"/>
    <x v="0"/>
  </r>
  <r>
    <x v="7"/>
    <n v="108.50462341308599"/>
    <n v="108.139617919922"/>
    <x v="5"/>
    <n v="102.535244031037"/>
    <x v="0"/>
    <x v="1"/>
    <x v="4"/>
    <x v="1"/>
  </r>
  <r>
    <x v="8"/>
    <n v="92.869261806125905"/>
    <n v="94.639220382878094"/>
    <x v="6"/>
    <n v="98.089987819120196"/>
    <x v="4"/>
    <x v="1"/>
    <x v="1"/>
    <x v="2"/>
  </r>
  <r>
    <x v="9"/>
    <n v="107.23533630371099"/>
    <n v="108.59951019287099"/>
    <x v="7"/>
    <m/>
    <x v="5"/>
    <x v="2"/>
    <x v="4"/>
    <x v="0"/>
  </r>
  <r>
    <x v="10"/>
    <n v="99.901107788085895"/>
    <n v="99.929153442382798"/>
    <x v="8"/>
    <n v="99.365753173828097"/>
    <x v="0"/>
    <x v="2"/>
    <x v="2"/>
    <x v="1"/>
  </r>
  <r>
    <x v="11"/>
    <n v="101.56085205078099"/>
    <n v="101.644119262695"/>
    <x v="9"/>
    <n v="100.902870178223"/>
    <x v="0"/>
    <x v="2"/>
    <x v="1"/>
    <x v="2"/>
  </r>
  <r>
    <x v="12"/>
    <n v="98.236071389783902"/>
    <n v="97.730500104459693"/>
    <x v="10"/>
    <n v="101.979698816442"/>
    <x v="6"/>
    <x v="1"/>
    <x v="1"/>
    <x v="0"/>
  </r>
  <r>
    <x v="13"/>
    <m/>
    <n v="80.523712158203097"/>
    <x v="0"/>
    <n v="78.393193435566303"/>
    <x v="7"/>
    <x v="2"/>
    <x v="4"/>
    <x v="1"/>
  </r>
  <r>
    <x v="14"/>
    <m/>
    <m/>
    <x v="11"/>
    <n v="93.899895308042105"/>
    <x v="8"/>
    <x v="2"/>
    <x v="0"/>
    <x v="2"/>
  </r>
  <r>
    <x v="15"/>
    <n v="110.066619873047"/>
    <n v="106.334849059692"/>
    <x v="12"/>
    <n v="103.116421399751"/>
    <x v="9"/>
    <x v="3"/>
    <x v="5"/>
    <x v="0"/>
  </r>
  <r>
    <x v="16"/>
    <n v="94.513482980500001"/>
    <n v="92.770903261359607"/>
    <x v="13"/>
    <n v="88.007568783880501"/>
    <x v="10"/>
    <x v="2"/>
    <x v="4"/>
    <x v="1"/>
  </r>
  <r>
    <x v="17"/>
    <n v="95.525014830927404"/>
    <n v="95.526643747314097"/>
    <x v="14"/>
    <n v="95.218363103576806"/>
    <x v="11"/>
    <x v="1"/>
    <x v="1"/>
    <x v="2"/>
  </r>
  <r>
    <x v="18"/>
    <n v="102.06427001953099"/>
    <n v="101.82113647460901"/>
    <x v="15"/>
    <n v="102.10800933837901"/>
    <x v="0"/>
    <x v="2"/>
    <x v="1"/>
    <x v="0"/>
  </r>
  <r>
    <x v="19"/>
    <n v="112.251430128031"/>
    <n v="107.337270073984"/>
    <x v="16"/>
    <n v="97.787446161918695"/>
    <x v="12"/>
    <x v="1"/>
    <x v="4"/>
    <x v="1"/>
  </r>
  <r>
    <x v="20"/>
    <n v="104.033172607422"/>
    <n v="105.631301879883"/>
    <x v="17"/>
    <m/>
    <x v="0"/>
    <x v="3"/>
    <x v="3"/>
    <x v="2"/>
  </r>
  <r>
    <x v="21"/>
    <m/>
    <m/>
    <x v="0"/>
    <n v="92.851249694824205"/>
    <x v="0"/>
    <x v="2"/>
    <x v="6"/>
    <x v="0"/>
  </r>
  <r>
    <x v="22"/>
    <n v="103.826009511759"/>
    <n v="105.461046747645"/>
    <x v="18"/>
    <n v="106.687397950258"/>
    <x v="13"/>
    <x v="3"/>
    <x v="5"/>
    <x v="1"/>
  </r>
  <r>
    <x v="23"/>
    <n v="98.236948607962503"/>
    <n v="98.469422839840902"/>
    <x v="19"/>
    <n v="98.572689462578595"/>
    <x v="0"/>
    <x v="3"/>
    <x v="4"/>
    <x v="2"/>
  </r>
  <r>
    <x v="24"/>
    <n v="100.26393127441401"/>
    <n v="101.168617248535"/>
    <x v="20"/>
    <n v="101.194877624512"/>
    <x v="0"/>
    <x v="1"/>
    <x v="1"/>
    <x v="0"/>
  </r>
  <r>
    <x v="25"/>
    <m/>
    <n v="104.619979858398"/>
    <x v="21"/>
    <m/>
    <x v="0"/>
    <x v="1"/>
    <x v="3"/>
    <x v="1"/>
  </r>
  <r>
    <x v="26"/>
    <n v="105.49819946289099"/>
    <n v="103.4716796875"/>
    <x v="22"/>
    <m/>
    <x v="0"/>
    <x v="1"/>
    <x v="4"/>
    <x v="2"/>
  </r>
  <r>
    <x v="27"/>
    <n v="86.852207293665998"/>
    <n v="92.6870177792687"/>
    <x v="23"/>
    <n v="87.316561844863699"/>
    <x v="14"/>
    <x v="2"/>
    <x v="4"/>
    <x v="0"/>
  </r>
  <r>
    <x v="28"/>
    <n v="102.70963396627199"/>
    <n v="101.387926832397"/>
    <x v="24"/>
    <n v="96.929218871619796"/>
    <x v="0"/>
    <x v="2"/>
    <x v="2"/>
    <x v="1"/>
  </r>
  <r>
    <x v="29"/>
    <n v="96.543762207031193"/>
    <n v="95.611099243164105"/>
    <x v="25"/>
    <n v="95.4232177734375"/>
    <x v="0"/>
    <x v="2"/>
    <x v="1"/>
    <x v="2"/>
  </r>
  <r>
    <x v="30"/>
    <n v="87.698847343753798"/>
    <n v="87.018335361719807"/>
    <x v="26"/>
    <n v="72.2385948607578"/>
    <x v="15"/>
    <x v="0"/>
    <x v="3"/>
    <x v="0"/>
  </r>
  <r>
    <x v="31"/>
    <n v="101.661087301601"/>
    <m/>
    <x v="0"/>
    <m/>
    <x v="0"/>
    <x v="0"/>
    <x v="3"/>
    <x v="1"/>
  </r>
  <r>
    <x v="32"/>
    <n v="103.42828248778"/>
    <n v="103.025970530848"/>
    <x v="27"/>
    <m/>
    <x v="0"/>
    <x v="1"/>
    <x v="3"/>
    <x v="2"/>
  </r>
  <r>
    <x v="33"/>
    <n v="107.02101898193401"/>
    <n v="105.282475574163"/>
    <x v="28"/>
    <n v="107.039014463223"/>
    <x v="16"/>
    <x v="3"/>
    <x v="2"/>
    <x v="0"/>
  </r>
  <r>
    <x v="34"/>
    <m/>
    <n v="110.107790367283"/>
    <x v="29"/>
    <n v="114.42483263675901"/>
    <x v="17"/>
    <x v="3"/>
    <x v="3"/>
    <x v="1"/>
  </r>
  <r>
    <x v="35"/>
    <n v="96.908973693847699"/>
    <n v="95.229621887207003"/>
    <x v="30"/>
    <n v="94.952339172363295"/>
    <x v="0"/>
    <x v="2"/>
    <x v="6"/>
    <x v="2"/>
  </r>
  <r>
    <x v="36"/>
    <n v="97.652379926771502"/>
    <n v="95.478489903424105"/>
    <x v="31"/>
    <n v="101.44124168514401"/>
    <x v="18"/>
    <x v="2"/>
    <x v="4"/>
    <x v="0"/>
  </r>
  <r>
    <x v="37"/>
    <m/>
    <m/>
    <x v="0"/>
    <m/>
    <x v="0"/>
    <x v="0"/>
    <x v="3"/>
    <x v="1"/>
  </r>
  <r>
    <x v="38"/>
    <m/>
    <n v="86.145430389142106"/>
    <x v="32"/>
    <n v="88.343657859433407"/>
    <x v="19"/>
    <x v="0"/>
    <x v="3"/>
    <x v="2"/>
  </r>
  <r>
    <x v="39"/>
    <m/>
    <m/>
    <x v="0"/>
    <m/>
    <x v="0"/>
    <x v="2"/>
    <x v="1"/>
    <x v="0"/>
  </r>
  <r>
    <x v="40"/>
    <n v="99.704399108886705"/>
    <n v="99.365226745605497"/>
    <x v="33"/>
    <n v="100.31838226318401"/>
    <x v="0"/>
    <x v="2"/>
    <x v="4"/>
    <x v="1"/>
  </r>
  <r>
    <x v="41"/>
    <n v="98.786062591834593"/>
    <n v="99.229455586660293"/>
    <x v="34"/>
    <n v="99.171863423957106"/>
    <x v="20"/>
    <x v="1"/>
    <x v="2"/>
    <x v="2"/>
  </r>
  <r>
    <x v="42"/>
    <n v="107.083686828613"/>
    <n v="106.488357543945"/>
    <x v="35"/>
    <m/>
    <x v="0"/>
    <x v="1"/>
    <x v="4"/>
    <x v="0"/>
  </r>
  <r>
    <x v="43"/>
    <m/>
    <n v="86.817528141891302"/>
    <x v="0"/>
    <m/>
    <x v="21"/>
    <x v="3"/>
    <x v="3"/>
    <x v="1"/>
  </r>
  <r>
    <x v="44"/>
    <n v="115.89829254150401"/>
    <n v="120.06845092773401"/>
    <x v="0"/>
    <n v="117.602096557617"/>
    <x v="0"/>
    <x v="0"/>
    <x v="3"/>
    <x v="2"/>
  </r>
  <r>
    <x v="45"/>
    <m/>
    <m/>
    <x v="0"/>
    <n v="87.880241394042997"/>
    <x v="0"/>
    <x v="3"/>
    <x v="3"/>
    <x v="0"/>
  </r>
  <r>
    <x v="46"/>
    <n v="108.293647766113"/>
    <n v="107.19036865234401"/>
    <x v="36"/>
    <n v="106.156616210938"/>
    <x v="0"/>
    <x v="2"/>
    <x v="4"/>
    <x v="1"/>
  </r>
  <r>
    <x v="47"/>
    <n v="88.626659846954098"/>
    <n v="85.830088505201999"/>
    <x v="37"/>
    <n v="91.809341224139899"/>
    <x v="22"/>
    <x v="3"/>
    <x v="3"/>
    <x v="2"/>
  </r>
  <r>
    <x v="48"/>
    <n v="99.488670349121094"/>
    <n v="99.744148254394503"/>
    <x v="38"/>
    <n v="101.157791137695"/>
    <x v="0"/>
    <x v="2"/>
    <x v="1"/>
    <x v="0"/>
  </r>
  <r>
    <x v="49"/>
    <n v="101.31743274332101"/>
    <n v="101.302915584834"/>
    <x v="39"/>
    <n v="99.328173383104399"/>
    <x v="23"/>
    <x v="1"/>
    <x v="4"/>
    <x v="1"/>
  </r>
  <r>
    <x v="50"/>
    <n v="113.350877192982"/>
    <m/>
    <x v="0"/>
    <n v="109.168144897769"/>
    <x v="0"/>
    <x v="2"/>
    <x v="4"/>
    <x v="2"/>
  </r>
  <r>
    <x v="51"/>
    <n v="100.735160827637"/>
    <n v="99.102813720703097"/>
    <x v="40"/>
    <n v="98.591827392578097"/>
    <x v="0"/>
    <x v="2"/>
    <x v="1"/>
    <x v="0"/>
  </r>
  <r>
    <x v="52"/>
    <n v="99.784530639648395"/>
    <n v="101.677841186523"/>
    <x v="41"/>
    <n v="99.699089050292997"/>
    <x v="0"/>
    <x v="2"/>
    <x v="1"/>
    <x v="1"/>
  </r>
  <r>
    <x v="53"/>
    <n v="100.459587097168"/>
    <n v="100.30841827392599"/>
    <x v="42"/>
    <n v="99.869888305664105"/>
    <x v="0"/>
    <x v="2"/>
    <x v="1"/>
    <x v="2"/>
  </r>
  <r>
    <x v="54"/>
    <m/>
    <m/>
    <x v="0"/>
    <m/>
    <x v="0"/>
    <x v="3"/>
    <x v="0"/>
    <x v="0"/>
  </r>
  <r>
    <x v="55"/>
    <n v="99.325517905893705"/>
    <n v="101.036354663596"/>
    <x v="43"/>
    <n v="99.072164948453604"/>
    <x v="24"/>
    <x v="1"/>
    <x v="4"/>
    <x v="1"/>
  </r>
  <r>
    <x v="56"/>
    <n v="105.92524239824699"/>
    <n v="96.870457045114705"/>
    <x v="44"/>
    <n v="101.644848757662"/>
    <x v="25"/>
    <x v="1"/>
    <x v="4"/>
    <x v="2"/>
  </r>
  <r>
    <x v="57"/>
    <n v="98.116382378770794"/>
    <n v="98.175759728458502"/>
    <x v="45"/>
    <n v="97.249009723611493"/>
    <x v="0"/>
    <x v="1"/>
    <x v="4"/>
    <x v="0"/>
  </r>
  <r>
    <x v="58"/>
    <n v="95.643301216423296"/>
    <n v="97.001058350422198"/>
    <x v="46"/>
    <n v="95.921706939380101"/>
    <x v="26"/>
    <x v="3"/>
    <x v="0"/>
    <x v="1"/>
  </r>
  <r>
    <x v="59"/>
    <n v="90.6579425663395"/>
    <n v="89.081877405981601"/>
    <x v="47"/>
    <n v="90.883721346918804"/>
    <x v="27"/>
    <x v="1"/>
    <x v="4"/>
    <x v="2"/>
  </r>
  <r>
    <x v="60"/>
    <m/>
    <m/>
    <x v="0"/>
    <m/>
    <x v="0"/>
    <x v="1"/>
    <x v="3"/>
    <x v="0"/>
  </r>
  <r>
    <x v="61"/>
    <m/>
    <m/>
    <x v="48"/>
    <m/>
    <x v="0"/>
    <x v="0"/>
    <x v="3"/>
    <x v="1"/>
  </r>
  <r>
    <x v="62"/>
    <n v="98.346672058105497"/>
    <n v="98.814666748046903"/>
    <x v="49"/>
    <n v="98.338157653808594"/>
    <x v="0"/>
    <x v="2"/>
    <x v="1"/>
    <x v="2"/>
  </r>
  <r>
    <x v="63"/>
    <m/>
    <m/>
    <x v="50"/>
    <n v="116.52700259413599"/>
    <x v="0"/>
    <x v="3"/>
    <x v="3"/>
    <x v="0"/>
  </r>
  <r>
    <x v="64"/>
    <n v="112.6701710274"/>
    <n v="101.338920969252"/>
    <x v="51"/>
    <n v="83.731974588161805"/>
    <x v="28"/>
    <x v="3"/>
    <x v="3"/>
    <x v="1"/>
  </r>
  <r>
    <x v="65"/>
    <m/>
    <m/>
    <x v="0"/>
    <m/>
    <x v="0"/>
    <x v="2"/>
    <x v="1"/>
    <x v="2"/>
  </r>
  <r>
    <x v="66"/>
    <n v="112.553329467773"/>
    <n v="114.93183377296"/>
    <x v="52"/>
    <n v="111.93660947950001"/>
    <x v="29"/>
    <x v="1"/>
    <x v="2"/>
    <x v="0"/>
  </r>
  <r>
    <x v="67"/>
    <n v="99.817581176757798"/>
    <n v="99.353630065917997"/>
    <x v="53"/>
    <n v="99.115173339843807"/>
    <x v="0"/>
    <x v="2"/>
    <x v="1"/>
    <x v="1"/>
  </r>
  <r>
    <x v="68"/>
    <n v="102.65162658691401"/>
    <n v="102.580406188965"/>
    <x v="54"/>
    <n v="103.26512145996099"/>
    <x v="0"/>
    <x v="2"/>
    <x v="1"/>
    <x v="2"/>
  </r>
  <r>
    <x v="69"/>
    <m/>
    <m/>
    <x v="0"/>
    <m/>
    <x v="0"/>
    <x v="2"/>
    <x v="2"/>
    <x v="0"/>
  </r>
  <r>
    <x v="70"/>
    <m/>
    <m/>
    <x v="0"/>
    <m/>
    <x v="0"/>
    <x v="1"/>
    <x v="3"/>
    <x v="1"/>
  </r>
  <r>
    <x v="71"/>
    <n v="96.882702660067395"/>
    <n v="96.323541765170404"/>
    <x v="55"/>
    <n v="98.735967042877903"/>
    <x v="30"/>
    <x v="0"/>
    <x v="3"/>
    <x v="2"/>
  </r>
  <r>
    <x v="72"/>
    <n v="100.779530049426"/>
    <n v="101.286441127535"/>
    <x v="56"/>
    <n v="100.88726086346399"/>
    <x v="31"/>
    <x v="1"/>
    <x v="1"/>
    <x v="0"/>
  </r>
  <r>
    <x v="73"/>
    <n v="101.996658325195"/>
    <n v="101.346549987793"/>
    <x v="57"/>
    <n v="102.19068908691401"/>
    <x v="0"/>
    <x v="2"/>
    <x v="1"/>
    <x v="1"/>
  </r>
  <r>
    <x v="74"/>
    <n v="98.404895272390803"/>
    <n v="99.450943657247194"/>
    <x v="58"/>
    <m/>
    <x v="0"/>
    <x v="3"/>
    <x v="3"/>
    <x v="2"/>
  </r>
  <r>
    <x v="75"/>
    <n v="108.720271800679"/>
    <n v="108.468335787923"/>
    <x v="59"/>
    <n v="103.557022368904"/>
    <x v="32"/>
    <x v="2"/>
    <x v="1"/>
    <x v="0"/>
  </r>
  <r>
    <x v="76"/>
    <n v="97.283172607421903"/>
    <n v="97.331321716308594"/>
    <x v="60"/>
    <n v="102.020217895508"/>
    <x v="0"/>
    <x v="2"/>
    <x v="1"/>
    <x v="1"/>
  </r>
  <r>
    <x v="77"/>
    <m/>
    <m/>
    <x v="0"/>
    <m/>
    <x v="0"/>
    <x v="2"/>
    <x v="1"/>
    <x v="2"/>
  </r>
  <r>
    <x v="78"/>
    <m/>
    <n v="99.260814783704305"/>
    <x v="0"/>
    <m/>
    <x v="33"/>
    <x v="1"/>
    <x v="4"/>
    <x v="0"/>
  </r>
  <r>
    <x v="79"/>
    <m/>
    <m/>
    <x v="0"/>
    <m/>
    <x v="0"/>
    <x v="2"/>
    <x v="2"/>
    <x v="1"/>
  </r>
  <r>
    <x v="80"/>
    <n v="101.500290013425"/>
    <n v="103.02649445279501"/>
    <x v="61"/>
    <n v="102.032228557129"/>
    <x v="34"/>
    <x v="1"/>
    <x v="4"/>
    <x v="2"/>
  </r>
  <r>
    <x v="81"/>
    <n v="100.47451782226599"/>
    <m/>
    <x v="0"/>
    <m/>
    <x v="0"/>
    <x v="3"/>
    <x v="3"/>
    <x v="0"/>
  </r>
  <r>
    <x v="82"/>
    <m/>
    <m/>
    <x v="0"/>
    <m/>
    <x v="0"/>
    <x v="0"/>
    <x v="3"/>
    <x v="1"/>
  </r>
  <r>
    <x v="83"/>
    <n v="96.356927277187097"/>
    <n v="96.397194536729401"/>
    <x v="0"/>
    <n v="94.446055384105506"/>
    <x v="35"/>
    <x v="2"/>
    <x v="4"/>
    <x v="2"/>
  </r>
  <r>
    <x v="84"/>
    <m/>
    <m/>
    <x v="0"/>
    <m/>
    <x v="0"/>
    <x v="3"/>
    <x v="4"/>
    <x v="0"/>
  </r>
  <r>
    <x v="85"/>
    <n v="83.655299038885502"/>
    <n v="80.893361148607198"/>
    <x v="62"/>
    <n v="82.547882130592697"/>
    <x v="36"/>
    <x v="3"/>
    <x v="4"/>
    <x v="1"/>
  </r>
  <r>
    <x v="86"/>
    <n v="105.128762541806"/>
    <n v="106.033688453786"/>
    <x v="63"/>
    <m/>
    <x v="37"/>
    <x v="2"/>
    <x v="2"/>
    <x v="2"/>
  </r>
  <r>
    <x v="87"/>
    <n v="97.174942016601605"/>
    <n v="101.45842742919901"/>
    <x v="64"/>
    <n v="103.570762634277"/>
    <x v="0"/>
    <x v="2"/>
    <x v="1"/>
    <x v="0"/>
  </r>
  <r>
    <x v="88"/>
    <n v="98.556121826171903"/>
    <n v="98.567291259765597"/>
    <x v="65"/>
    <n v="98.221832275390597"/>
    <x v="0"/>
    <x v="2"/>
    <x v="1"/>
    <x v="1"/>
  </r>
  <r>
    <x v="89"/>
    <n v="102.041421630559"/>
    <n v="103.202010704334"/>
    <x v="66"/>
    <n v="113.164575709104"/>
    <x v="38"/>
    <x v="3"/>
    <x v="5"/>
    <x v="2"/>
  </r>
  <r>
    <x v="90"/>
    <n v="100.951933675872"/>
    <n v="100.309665446849"/>
    <x v="67"/>
    <n v="98.156627572690397"/>
    <x v="39"/>
    <x v="1"/>
    <x v="2"/>
    <x v="0"/>
  </r>
  <r>
    <x v="91"/>
    <n v="104.680130004883"/>
    <m/>
    <x v="0"/>
    <m/>
    <x v="0"/>
    <x v="1"/>
    <x v="0"/>
    <x v="1"/>
  </r>
  <r>
    <x v="92"/>
    <m/>
    <m/>
    <x v="0"/>
    <m/>
    <x v="0"/>
    <x v="1"/>
    <x v="0"/>
    <x v="2"/>
  </r>
  <r>
    <x v="93"/>
    <n v="101.368812561035"/>
    <n v="99.983848571777301"/>
    <x v="68"/>
    <m/>
    <x v="0"/>
    <x v="2"/>
    <x v="1"/>
    <x v="0"/>
  </r>
  <r>
    <x v="94"/>
    <m/>
    <m/>
    <x v="0"/>
    <m/>
    <x v="0"/>
    <x v="2"/>
    <x v="1"/>
    <x v="1"/>
  </r>
  <r>
    <x v="95"/>
    <n v="96.374763488769503"/>
    <n v="96.248977661132798"/>
    <x v="69"/>
    <n v="96.485382080078097"/>
    <x v="0"/>
    <x v="2"/>
    <x v="0"/>
    <x v="2"/>
  </r>
  <r>
    <x v="96"/>
    <n v="102.636672973633"/>
    <n v="101.089881896973"/>
    <x v="70"/>
    <n v="103.56601715087901"/>
    <x v="0"/>
    <x v="2"/>
    <x v="1"/>
    <x v="0"/>
  </r>
  <r>
    <x v="97"/>
    <n v="90.949440002441406"/>
    <n v="92.376122628706099"/>
    <x v="71"/>
    <n v="87.737545171787602"/>
    <x v="0"/>
    <x v="1"/>
    <x v="4"/>
    <x v="1"/>
  </r>
  <r>
    <x v="98"/>
    <n v="102.73683166503901"/>
    <n v="102.21832275390599"/>
    <x v="72"/>
    <n v="102.496421813965"/>
    <x v="0"/>
    <x v="2"/>
    <x v="2"/>
    <x v="2"/>
  </r>
  <r>
    <x v="99"/>
    <n v="98.960533668867996"/>
    <n v="98.001749636373404"/>
    <x v="73"/>
    <n v="98.299487329094902"/>
    <x v="40"/>
    <x v="3"/>
    <x v="0"/>
    <x v="0"/>
  </r>
  <r>
    <x v="100"/>
    <n v="98.958859277591301"/>
    <n v="98.273388617364503"/>
    <x v="74"/>
    <n v="98.980449387313499"/>
    <x v="41"/>
    <x v="1"/>
    <x v="1"/>
    <x v="1"/>
  </r>
  <r>
    <x v="101"/>
    <n v="91.954248602066798"/>
    <n v="93.7669067632864"/>
    <x v="75"/>
    <n v="98.248347580686101"/>
    <x v="0"/>
    <x v="3"/>
    <x v="3"/>
    <x v="2"/>
  </r>
  <r>
    <x v="102"/>
    <n v="105.717202654416"/>
    <n v="103.688433251616"/>
    <x v="76"/>
    <n v="97.365538394128606"/>
    <x v="42"/>
    <x v="3"/>
    <x v="2"/>
    <x v="0"/>
  </r>
  <r>
    <x v="103"/>
    <m/>
    <m/>
    <x v="0"/>
    <m/>
    <x v="0"/>
    <x v="0"/>
    <x v="2"/>
    <x v="1"/>
  </r>
  <r>
    <x v="104"/>
    <n v="99.217903137207003"/>
    <n v="98.607933044433594"/>
    <x v="77"/>
    <n v="100.301467895508"/>
    <x v="0"/>
    <x v="2"/>
    <x v="2"/>
    <x v="2"/>
  </r>
  <r>
    <x v="105"/>
    <m/>
    <m/>
    <x v="0"/>
    <m/>
    <x v="0"/>
    <x v="1"/>
    <x v="1"/>
    <x v="0"/>
  </r>
  <r>
    <x v="106"/>
    <n v="81.386793864242406"/>
    <n v="82.363412679180598"/>
    <x v="0"/>
    <m/>
    <x v="0"/>
    <x v="2"/>
    <x v="0"/>
    <x v="1"/>
  </r>
  <r>
    <x v="107"/>
    <n v="96.210335479613704"/>
    <n v="96.374376634611806"/>
    <x v="78"/>
    <n v="98.096336052391905"/>
    <x v="43"/>
    <x v="3"/>
    <x v="1"/>
    <x v="2"/>
  </r>
  <r>
    <x v="108"/>
    <n v="100.27766790602"/>
    <n v="99.110199480982502"/>
    <x v="79"/>
    <n v="95.038253493921601"/>
    <x v="44"/>
    <x v="3"/>
    <x v="2"/>
    <x v="0"/>
  </r>
  <r>
    <x v="109"/>
    <n v="99.832847595214801"/>
    <n v="99.740768432617202"/>
    <x v="80"/>
    <n v="98.466636657714801"/>
    <x v="0"/>
    <x v="2"/>
    <x v="1"/>
    <x v="1"/>
  </r>
  <r>
    <x v="110"/>
    <n v="76.101696162478405"/>
    <n v="74.729221765468196"/>
    <x v="81"/>
    <n v="78.202687419617604"/>
    <x v="45"/>
    <x v="3"/>
    <x v="0"/>
    <x v="2"/>
  </r>
  <r>
    <x v="111"/>
    <n v="87.744735869966703"/>
    <n v="85.036618601123905"/>
    <x v="82"/>
    <n v="81.641223970735197"/>
    <x v="46"/>
    <x v="3"/>
    <x v="3"/>
    <x v="0"/>
  </r>
  <r>
    <x v="112"/>
    <n v="72.422827880186503"/>
    <n v="67.462715078107294"/>
    <x v="83"/>
    <m/>
    <x v="0"/>
    <x v="0"/>
    <x v="3"/>
    <x v="1"/>
  </r>
  <r>
    <x v="113"/>
    <m/>
    <m/>
    <x v="0"/>
    <m/>
    <x v="0"/>
    <x v="1"/>
    <x v="0"/>
    <x v="2"/>
  </r>
  <r>
    <x v="114"/>
    <n v="102.913627624512"/>
    <n v="102.110137939453"/>
    <x v="0"/>
    <m/>
    <x v="0"/>
    <x v="2"/>
    <x v="1"/>
    <x v="0"/>
  </r>
  <r>
    <x v="115"/>
    <n v="103.46824645996099"/>
    <n v="101.152992248535"/>
    <x v="84"/>
    <n v="102.67994689941401"/>
    <x v="0"/>
    <x v="2"/>
    <x v="1"/>
    <x v="1"/>
  </r>
  <r>
    <x v="116"/>
    <n v="98.644248962402301"/>
    <n v="98.475837707519503"/>
    <x v="85"/>
    <n v="99.064460754394503"/>
    <x v="0"/>
    <x v="2"/>
    <x v="1"/>
    <x v="2"/>
  </r>
  <r>
    <x v="117"/>
    <n v="92.789617486338798"/>
    <n v="89.070351758794004"/>
    <x v="86"/>
    <n v="86.424657534246606"/>
    <x v="47"/>
    <x v="2"/>
    <x v="2"/>
    <x v="0"/>
  </r>
  <r>
    <x v="118"/>
    <n v="126.585803806645"/>
    <n v="140.26566251080001"/>
    <x v="87"/>
    <n v="130.59903964252101"/>
    <x v="48"/>
    <x v="0"/>
    <x v="3"/>
    <x v="1"/>
  </r>
  <r>
    <x v="119"/>
    <n v="136.43618677974999"/>
    <n v="127.042360318779"/>
    <x v="88"/>
    <n v="135.97444078182201"/>
    <x v="49"/>
    <x v="0"/>
    <x v="3"/>
    <x v="2"/>
  </r>
  <r>
    <x v="120"/>
    <n v="93.180012935104699"/>
    <n v="92.576988192700398"/>
    <x v="89"/>
    <n v="91.502110668507598"/>
    <x v="50"/>
    <x v="1"/>
    <x v="2"/>
    <x v="0"/>
  </r>
  <r>
    <x v="121"/>
    <n v="97.178445296775905"/>
    <m/>
    <x v="90"/>
    <n v="100.477973568282"/>
    <x v="51"/>
    <x v="1"/>
    <x v="5"/>
    <x v="1"/>
  </r>
  <r>
    <x v="122"/>
    <m/>
    <m/>
    <x v="0"/>
    <n v="72.7972336510107"/>
    <x v="0"/>
    <x v="0"/>
    <x v="3"/>
    <x v="2"/>
  </r>
  <r>
    <x v="123"/>
    <n v="96.802490234375"/>
    <n v="95.413658142089801"/>
    <x v="91"/>
    <n v="97.707839965820298"/>
    <x v="0"/>
    <x v="2"/>
    <x v="0"/>
    <x v="0"/>
  </r>
  <r>
    <x v="124"/>
    <n v="108.448888114364"/>
    <n v="111.781011494743"/>
    <x v="92"/>
    <n v="107.109965783596"/>
    <x v="52"/>
    <x v="1"/>
    <x v="2"/>
    <x v="1"/>
  </r>
  <r>
    <x v="125"/>
    <n v="93.804466478078595"/>
    <m/>
    <x v="0"/>
    <n v="104.015072968957"/>
    <x v="53"/>
    <x v="3"/>
    <x v="3"/>
    <x v="2"/>
  </r>
  <r>
    <x v="126"/>
    <n v="95.006390254573901"/>
    <n v="99.886019590382901"/>
    <x v="0"/>
    <n v="110.911583276217"/>
    <x v="54"/>
    <x v="1"/>
    <x v="3"/>
    <x v="0"/>
  </r>
  <r>
    <x v="127"/>
    <n v="104.51773071289099"/>
    <n v="103.358810424805"/>
    <x v="93"/>
    <n v="101.42075347900401"/>
    <x v="0"/>
    <x v="1"/>
    <x v="4"/>
    <x v="1"/>
  </r>
  <r>
    <x v="128"/>
    <n v="87.424045435708507"/>
    <n v="87.399095395760199"/>
    <x v="94"/>
    <n v="82.154765735030097"/>
    <x v="55"/>
    <x v="3"/>
    <x v="2"/>
    <x v="2"/>
  </r>
  <r>
    <x v="129"/>
    <n v="106.519975508955"/>
    <n v="106.778422255742"/>
    <x v="95"/>
    <n v="106.673559179739"/>
    <x v="56"/>
    <x v="1"/>
    <x v="1"/>
    <x v="0"/>
  </r>
  <r>
    <x v="130"/>
    <m/>
    <m/>
    <x v="0"/>
    <m/>
    <x v="57"/>
    <x v="2"/>
    <x v="1"/>
    <x v="1"/>
  </r>
  <r>
    <x v="131"/>
    <n v="92.346460158066193"/>
    <n v="92.024228960724997"/>
    <x v="96"/>
    <n v="93.065441111422203"/>
    <x v="58"/>
    <x v="1"/>
    <x v="2"/>
    <x v="2"/>
  </r>
  <r>
    <x v="132"/>
    <n v="103.846572875977"/>
    <n v="104.39967346191401"/>
    <x v="97"/>
    <n v="106.109619140625"/>
    <x v="0"/>
    <x v="1"/>
    <x v="1"/>
    <x v="0"/>
  </r>
  <r>
    <x v="133"/>
    <n v="112.35403746093201"/>
    <n v="112.94088228676399"/>
    <x v="98"/>
    <n v="117.598816130003"/>
    <x v="59"/>
    <x v="3"/>
    <x v="0"/>
    <x v="1"/>
  </r>
  <r>
    <x v="134"/>
    <n v="118.980061431837"/>
    <m/>
    <x v="99"/>
    <m/>
    <x v="0"/>
    <x v="0"/>
    <x v="3"/>
    <x v="2"/>
  </r>
  <r>
    <x v="135"/>
    <m/>
    <m/>
    <x v="0"/>
    <m/>
    <x v="0"/>
    <x v="3"/>
    <x v="2"/>
    <x v="0"/>
  </r>
  <r>
    <x v="136"/>
    <n v="122.345254349927"/>
    <n v="121.824196673464"/>
    <x v="100"/>
    <n v="119.460955801452"/>
    <x v="60"/>
    <x v="3"/>
    <x v="3"/>
    <x v="1"/>
  </r>
  <r>
    <x v="137"/>
    <n v="102.25771331787099"/>
    <m/>
    <x v="101"/>
    <n v="109.89834207399301"/>
    <x v="61"/>
    <x v="2"/>
    <x v="2"/>
    <x v="2"/>
  </r>
  <r>
    <x v="138"/>
    <n v="121.90357208252"/>
    <n v="119.97632950174599"/>
    <x v="102"/>
    <n v="126.553677663081"/>
    <x v="62"/>
    <x v="3"/>
    <x v="5"/>
    <x v="0"/>
  </r>
  <r>
    <x v="139"/>
    <n v="104.338813781738"/>
    <n v="104.37840270996099"/>
    <x v="103"/>
    <n v="104.15657043457"/>
    <x v="0"/>
    <x v="2"/>
    <x v="1"/>
    <x v="1"/>
  </r>
  <r>
    <x v="140"/>
    <m/>
    <m/>
    <x v="0"/>
    <m/>
    <x v="0"/>
    <x v="2"/>
    <x v="2"/>
    <x v="2"/>
  </r>
  <r>
    <x v="141"/>
    <n v="97.536529541015597"/>
    <n v="97.916946411132798"/>
    <x v="104"/>
    <n v="96.867050170898395"/>
    <x v="0"/>
    <x v="2"/>
    <x v="2"/>
    <x v="0"/>
  </r>
  <r>
    <x v="142"/>
    <m/>
    <m/>
    <x v="0"/>
    <n v="109.53639221191401"/>
    <x v="0"/>
    <x v="3"/>
    <x v="4"/>
    <x v="1"/>
  </r>
  <r>
    <x v="143"/>
    <m/>
    <n v="65.864245185740998"/>
    <x v="105"/>
    <n v="66.880477993327204"/>
    <x v="63"/>
    <x v="0"/>
    <x v="3"/>
    <x v="2"/>
  </r>
  <r>
    <x v="144"/>
    <n v="84.371583976484999"/>
    <n v="83.809255595677897"/>
    <x v="0"/>
    <n v="89.587112426757798"/>
    <x v="0"/>
    <x v="3"/>
    <x v="3"/>
    <x v="0"/>
  </r>
  <r>
    <x v="145"/>
    <n v="93.435333251953097"/>
    <n v="93.262458801269503"/>
    <x v="106"/>
    <n v="96.313171386718807"/>
    <x v="0"/>
    <x v="1"/>
    <x v="1"/>
    <x v="1"/>
  </r>
  <r>
    <x v="146"/>
    <m/>
    <m/>
    <x v="0"/>
    <m/>
    <x v="0"/>
    <x v="2"/>
    <x v="2"/>
    <x v="2"/>
  </r>
  <r>
    <x v="147"/>
    <n v="98.885749816894503"/>
    <n v="98.973190307617202"/>
    <x v="107"/>
    <n v="98.610443115234403"/>
    <x v="0"/>
    <x v="2"/>
    <x v="1"/>
    <x v="0"/>
  </r>
  <r>
    <x v="148"/>
    <n v="90.636727982112006"/>
    <n v="89.198029420725604"/>
    <x v="108"/>
    <m/>
    <x v="0"/>
    <x v="2"/>
    <x v="0"/>
    <x v="1"/>
  </r>
  <r>
    <x v="149"/>
    <m/>
    <n v="80.316579007568507"/>
    <x v="109"/>
    <n v="81.379634612875094"/>
    <x v="64"/>
    <x v="3"/>
    <x v="0"/>
    <x v="2"/>
  </r>
  <r>
    <x v="150"/>
    <n v="105.470909118652"/>
    <n v="108.989547729492"/>
    <x v="110"/>
    <n v="100.71890726096299"/>
    <x v="0"/>
    <x v="2"/>
    <x v="2"/>
    <x v="0"/>
  </r>
  <r>
    <x v="151"/>
    <n v="95.204877126487801"/>
    <n v="100.88841591996"/>
    <x v="111"/>
    <n v="95.203393587737594"/>
    <x v="0"/>
    <x v="2"/>
    <x v="4"/>
    <x v="1"/>
  </r>
  <r>
    <x v="152"/>
    <n v="102.053543720153"/>
    <n v="101.941113862706"/>
    <x v="112"/>
    <n v="121.090488343548"/>
    <x v="0"/>
    <x v="3"/>
    <x v="2"/>
    <x v="2"/>
  </r>
  <r>
    <x v="153"/>
    <n v="90.834290856789295"/>
    <n v="92.522003173828097"/>
    <x v="113"/>
    <n v="90.353268684358895"/>
    <x v="65"/>
    <x v="1"/>
    <x v="4"/>
    <x v="0"/>
  </r>
  <r>
    <x v="154"/>
    <n v="113.06582641601599"/>
    <n v="113.829208374023"/>
    <x v="114"/>
    <n v="113.900588989258"/>
    <x v="0"/>
    <x v="1"/>
    <x v="4"/>
    <x v="1"/>
  </r>
  <r>
    <x v="155"/>
    <n v="93.282238648583899"/>
    <n v="88.8345145801337"/>
    <x v="115"/>
    <n v="92.446210701521494"/>
    <x v="66"/>
    <x v="3"/>
    <x v="2"/>
    <x v="2"/>
  </r>
  <r>
    <x v="156"/>
    <n v="82.211540222167997"/>
    <n v="96.601821899414105"/>
    <x v="116"/>
    <n v="105.397079467773"/>
    <x v="0"/>
    <x v="2"/>
    <x v="1"/>
    <x v="0"/>
  </r>
  <r>
    <x v="157"/>
    <n v="105.753471374512"/>
    <n v="105.672172546387"/>
    <x v="117"/>
    <n v="110.98851776123"/>
    <x v="0"/>
    <x v="2"/>
    <x v="1"/>
    <x v="1"/>
  </r>
  <r>
    <x v="158"/>
    <n v="100.98497277133499"/>
    <n v="89.569406104145202"/>
    <x v="118"/>
    <m/>
    <x v="0"/>
    <x v="2"/>
    <x v="0"/>
    <x v="2"/>
  </r>
  <r>
    <x v="159"/>
    <n v="91.904739379882798"/>
    <n v="90.773170471191406"/>
    <x v="119"/>
    <n v="84.946662902832003"/>
    <x v="0"/>
    <x v="2"/>
    <x v="1"/>
    <x v="0"/>
  </r>
  <r>
    <x v="160"/>
    <n v="101.731047648404"/>
    <n v="100.890349270112"/>
    <x v="120"/>
    <n v="97.746204147601304"/>
    <x v="0"/>
    <x v="2"/>
    <x v="1"/>
    <x v="1"/>
  </r>
  <r>
    <x v="161"/>
    <m/>
    <n v="151.06357186783401"/>
    <x v="121"/>
    <n v="151.894816720753"/>
    <x v="67"/>
    <x v="0"/>
    <x v="3"/>
    <x v="2"/>
  </r>
  <r>
    <x v="162"/>
    <n v="101.99483481315301"/>
    <n v="104.730628904914"/>
    <x v="122"/>
    <n v="101.61702064134801"/>
    <x v="68"/>
    <x v="1"/>
    <x v="2"/>
    <x v="0"/>
  </r>
  <r>
    <x v="163"/>
    <n v="94.405182567726698"/>
    <n v="93.573573573573597"/>
    <x v="123"/>
    <n v="95.120364346128795"/>
    <x v="69"/>
    <x v="2"/>
    <x v="1"/>
    <x v="1"/>
  </r>
  <r>
    <x v="164"/>
    <m/>
    <m/>
    <x v="0"/>
    <m/>
    <x v="0"/>
    <x v="3"/>
    <x v="3"/>
    <x v="2"/>
  </r>
  <r>
    <x v="165"/>
    <n v="103.151902576284"/>
    <n v="100.89557992908701"/>
    <x v="124"/>
    <m/>
    <x v="70"/>
    <x v="2"/>
    <x v="0"/>
    <x v="0"/>
  </r>
  <r>
    <x v="166"/>
    <n v="84.903129147737104"/>
    <n v="84.061227641773598"/>
    <x v="125"/>
    <n v="85.452365859643393"/>
    <x v="71"/>
    <x v="3"/>
    <x v="3"/>
    <x v="1"/>
  </r>
  <r>
    <x v="167"/>
    <n v="97.705848693847699"/>
    <n v="96.811256408691406"/>
    <x v="126"/>
    <m/>
    <x v="0"/>
    <x v="1"/>
    <x v="1"/>
    <x v="2"/>
  </r>
  <r>
    <x v="168"/>
    <n v="114.15366146458599"/>
    <n v="109.626103111937"/>
    <x v="127"/>
    <n v="97.135917417265503"/>
    <x v="72"/>
    <x v="2"/>
    <x v="3"/>
    <x v="0"/>
  </r>
  <r>
    <x v="169"/>
    <n v="142.79212464763901"/>
    <n v="157.70975757600101"/>
    <x v="128"/>
    <n v="159.416853770084"/>
    <x v="73"/>
    <x v="0"/>
    <x v="3"/>
    <x v="1"/>
  </r>
  <r>
    <x v="170"/>
    <n v="100.53590938338"/>
    <n v="99.874645040804296"/>
    <x v="129"/>
    <n v="100.245139192048"/>
    <x v="0"/>
    <x v="2"/>
    <x v="2"/>
    <x v="2"/>
  </r>
  <r>
    <x v="171"/>
    <m/>
    <m/>
    <x v="0"/>
    <n v="135.07075500488301"/>
    <x v="0"/>
    <x v="2"/>
    <x v="4"/>
    <x v="0"/>
  </r>
  <r>
    <x v="172"/>
    <n v="99.917228698730497"/>
    <n v="100.064170837402"/>
    <x v="130"/>
    <n v="103.09055328369099"/>
    <x v="0"/>
    <x v="2"/>
    <x v="1"/>
    <x v="1"/>
  </r>
  <r>
    <x v="173"/>
    <n v="100.23153686523401"/>
    <n v="99.776268005371094"/>
    <x v="131"/>
    <n v="100.88410186767599"/>
    <x v="0"/>
    <x v="2"/>
    <x v="1"/>
    <x v="2"/>
  </r>
  <r>
    <x v="174"/>
    <n v="89.600798676294204"/>
    <m/>
    <x v="0"/>
    <n v="80.254479101583499"/>
    <x v="74"/>
    <x v="3"/>
    <x v="2"/>
    <x v="0"/>
  </r>
  <r>
    <x v="175"/>
    <m/>
    <m/>
    <x v="0"/>
    <n v="20.915550231933601"/>
    <x v="0"/>
    <x v="0"/>
    <x v="3"/>
    <x v="1"/>
  </r>
  <r>
    <x v="176"/>
    <m/>
    <m/>
    <x v="0"/>
    <m/>
    <x v="75"/>
    <x v="0"/>
    <x v="3"/>
    <x v="2"/>
  </r>
  <r>
    <x v="177"/>
    <n v="103.41042327880901"/>
    <n v="102.899139404297"/>
    <x v="132"/>
    <n v="103.002769470215"/>
    <x v="0"/>
    <x v="2"/>
    <x v="1"/>
    <x v="0"/>
  </r>
  <r>
    <x v="178"/>
    <n v="95.233873310318202"/>
    <n v="94.459178502415"/>
    <x v="133"/>
    <n v="91.451142123502606"/>
    <x v="0"/>
    <x v="3"/>
    <x v="5"/>
    <x v="1"/>
  </r>
  <r>
    <x v="179"/>
    <n v="129.318854886476"/>
    <n v="138.73167419433599"/>
    <x v="134"/>
    <n v="121.118748518606"/>
    <x v="0"/>
    <x v="2"/>
    <x v="4"/>
    <x v="2"/>
  </r>
  <r>
    <x v="180"/>
    <n v="98.429252624511705"/>
    <m/>
    <x v="135"/>
    <n v="101.370978688747"/>
    <x v="76"/>
    <x v="1"/>
    <x v="4"/>
    <x v="0"/>
  </r>
  <r>
    <x v="181"/>
    <m/>
    <m/>
    <x v="0"/>
    <m/>
    <x v="0"/>
    <x v="2"/>
    <x v="4"/>
    <x v="1"/>
  </r>
  <r>
    <x v="182"/>
    <m/>
    <m/>
    <x v="0"/>
    <n v="111.270698547363"/>
    <x v="0"/>
    <x v="1"/>
    <x v="4"/>
    <x v="2"/>
  </r>
  <r>
    <x v="183"/>
    <m/>
    <m/>
    <x v="0"/>
    <m/>
    <x v="0"/>
    <x v="0"/>
    <x v="3"/>
    <x v="0"/>
  </r>
  <r>
    <x v="184"/>
    <n v="102.277236938477"/>
    <n v="94.881321259889901"/>
    <x v="136"/>
    <n v="64.179420471191406"/>
    <x v="0"/>
    <x v="1"/>
    <x v="4"/>
    <x v="1"/>
  </r>
  <r>
    <x v="185"/>
    <n v="119.500106811523"/>
    <n v="117.34763336181599"/>
    <x v="137"/>
    <n v="115.019523620605"/>
    <x v="0"/>
    <x v="2"/>
    <x v="1"/>
    <x v="2"/>
  </r>
  <r>
    <x v="186"/>
    <n v="101.73171234130901"/>
    <n v="101.478240966797"/>
    <x v="138"/>
    <n v="102.282958984375"/>
    <x v="0"/>
    <x v="2"/>
    <x v="1"/>
    <x v="0"/>
  </r>
  <r>
    <x v="187"/>
    <n v="70.377151489257798"/>
    <n v="68.558868408203097"/>
    <x v="139"/>
    <n v="76.771049499511705"/>
    <x v="77"/>
    <x v="0"/>
    <x v="0"/>
    <x v="1"/>
  </r>
  <r>
    <x v="188"/>
    <n v="100.40468774215201"/>
    <n v="100.36873086238199"/>
    <x v="140"/>
    <n v="96.975926527023603"/>
    <x v="78"/>
    <x v="3"/>
    <x v="1"/>
    <x v="2"/>
  </r>
  <r>
    <x v="189"/>
    <n v="98.575362240386895"/>
    <n v="98.699954180417805"/>
    <x v="141"/>
    <n v="95.640980409320093"/>
    <x v="79"/>
    <x v="3"/>
    <x v="3"/>
    <x v="0"/>
  </r>
  <r>
    <x v="190"/>
    <n v="103.859900460568"/>
    <n v="103.619796585158"/>
    <x v="142"/>
    <n v="102.574975655738"/>
    <x v="80"/>
    <x v="1"/>
    <x v="2"/>
    <x v="1"/>
  </r>
  <r>
    <x v="191"/>
    <n v="110.60670366742799"/>
    <n v="123.584941487948"/>
    <x v="143"/>
    <n v="119.652693100113"/>
    <x v="0"/>
    <x v="3"/>
    <x v="2"/>
    <x v="2"/>
  </r>
  <r>
    <x v="192"/>
    <n v="119.26683094876201"/>
    <n v="116.971385859009"/>
    <x v="144"/>
    <n v="116.335465545392"/>
    <x v="81"/>
    <x v="0"/>
    <x v="3"/>
    <x v="0"/>
  </r>
  <r>
    <x v="193"/>
    <n v="112.25483743583"/>
    <n v="107.017315453717"/>
    <x v="145"/>
    <n v="109.61159104822799"/>
    <x v="82"/>
    <x v="1"/>
    <x v="2"/>
    <x v="1"/>
  </r>
  <r>
    <x v="194"/>
    <m/>
    <m/>
    <x v="0"/>
    <n v="99.188758850097699"/>
    <x v="0"/>
    <x v="2"/>
    <x v="4"/>
    <x v="2"/>
  </r>
  <r>
    <x v="195"/>
    <n v="103.975509643555"/>
    <n v="104.34262847900401"/>
    <x v="146"/>
    <n v="104.42421722412099"/>
    <x v="0"/>
    <x v="3"/>
    <x v="0"/>
    <x v="0"/>
  </r>
  <r>
    <x v="196"/>
    <n v="103.296417236328"/>
    <n v="102.596397399902"/>
    <x v="147"/>
    <m/>
    <x v="0"/>
    <x v="1"/>
    <x v="1"/>
    <x v="1"/>
  </r>
  <r>
    <x v="197"/>
    <n v="100.048094898202"/>
    <n v="99.148014910553002"/>
    <x v="148"/>
    <n v="97.341891416248998"/>
    <x v="83"/>
    <x v="1"/>
    <x v="1"/>
    <x v="2"/>
  </r>
  <r>
    <x v="198"/>
    <n v="122.129144851658"/>
    <n v="119.73126220703099"/>
    <x v="149"/>
    <n v="124.371236273468"/>
    <x v="84"/>
    <x v="2"/>
    <x v="4"/>
    <x v="0"/>
  </r>
  <r>
    <x v="199"/>
    <n v="102.034664657121"/>
    <n v="113.292117465224"/>
    <x v="150"/>
    <n v="108.909370199693"/>
    <x v="85"/>
    <x v="1"/>
    <x v="2"/>
    <x v="1"/>
  </r>
  <r>
    <x v="200"/>
    <m/>
    <m/>
    <x v="0"/>
    <m/>
    <x v="0"/>
    <x v="0"/>
    <x v="3"/>
    <x v="2"/>
  </r>
  <r>
    <x v="201"/>
    <n v="91.112213449300697"/>
    <n v="91.148704724642798"/>
    <x v="151"/>
    <m/>
    <x v="86"/>
    <x v="1"/>
    <x v="1"/>
    <x v="0"/>
  </r>
  <r>
    <x v="202"/>
    <n v="108.069803864287"/>
    <n v="106.652834923572"/>
    <x v="152"/>
    <n v="106.25995030356199"/>
    <x v="87"/>
    <x v="2"/>
    <x v="0"/>
    <x v="1"/>
  </r>
  <r>
    <x v="203"/>
    <n v="102.22395324707"/>
    <n v="102.194450378418"/>
    <x v="153"/>
    <n v="102.555801391602"/>
    <x v="0"/>
    <x v="2"/>
    <x v="1"/>
    <x v="2"/>
  </r>
  <r>
    <x v="204"/>
    <n v="100.305793762207"/>
    <n v="98.305488586425795"/>
    <x v="154"/>
    <m/>
    <x v="0"/>
    <x v="2"/>
    <x v="6"/>
    <x v="0"/>
  </r>
  <r>
    <x v="205"/>
    <n v="105.236604559537"/>
    <n v="107.99080657959"/>
    <x v="155"/>
    <n v="104.532465643859"/>
    <x v="0"/>
    <x v="2"/>
    <x v="4"/>
    <x v="1"/>
  </r>
  <r>
    <x v="206"/>
    <n v="98.615310525126006"/>
    <n v="97.928925584927896"/>
    <x v="156"/>
    <n v="93.488825922536705"/>
    <x v="88"/>
    <x v="3"/>
    <x v="1"/>
    <x v="2"/>
  </r>
  <r>
    <x v="207"/>
    <n v="125.124809265137"/>
    <n v="122.872890234772"/>
    <x v="157"/>
    <n v="113.170782080259"/>
    <x v="89"/>
    <x v="3"/>
    <x v="2"/>
    <x v="0"/>
  </r>
  <r>
    <x v="208"/>
    <m/>
    <m/>
    <x v="158"/>
    <n v="111.130409240723"/>
    <x v="90"/>
    <x v="0"/>
    <x v="4"/>
    <x v="1"/>
  </r>
  <r>
    <x v="209"/>
    <n v="102.847744602601"/>
    <n v="103.39128272388101"/>
    <x v="159"/>
    <n v="105.170807361038"/>
    <x v="91"/>
    <x v="3"/>
    <x v="2"/>
    <x v="2"/>
  </r>
  <r>
    <x v="210"/>
    <m/>
    <m/>
    <x v="0"/>
    <m/>
    <x v="0"/>
    <x v="2"/>
    <x v="4"/>
    <x v="0"/>
  </r>
  <r>
    <x v="211"/>
    <n v="94.653084809437999"/>
    <n v="92.702990938681495"/>
    <x v="160"/>
    <n v="91.442236115330601"/>
    <x v="0"/>
    <x v="3"/>
    <x v="0"/>
    <x v="1"/>
  </r>
  <r>
    <x v="212"/>
    <m/>
    <m/>
    <x v="0"/>
    <m/>
    <x v="0"/>
    <x v="0"/>
    <x v="0"/>
    <x v="2"/>
  </r>
  <r>
    <x v="213"/>
    <m/>
    <m/>
    <x v="0"/>
    <m/>
    <x v="92"/>
    <x v="3"/>
    <x v="3"/>
    <x v="0"/>
  </r>
  <r>
    <x v="214"/>
    <n v="93.612585563932498"/>
    <n v="92.784690581579099"/>
    <x v="161"/>
    <n v="93.238378774293807"/>
    <x v="93"/>
    <x v="3"/>
    <x v="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s v="Last Updated Date"/>
    <d v="2026-02-24T00:00:00"/>
  </r>
  <r>
    <m/>
    <m/>
  </r>
  <r>
    <s v="Country Name"/>
    <s v="Country Code"/>
  </r>
  <r>
    <s v="Aruba"/>
    <s v="ABW"/>
  </r>
  <r>
    <s v="Africa Eastern and Southern"/>
    <s v="AFE"/>
  </r>
  <r>
    <s v="Afghanistan"/>
    <s v="AFG"/>
  </r>
  <r>
    <s v="Africa Western and Central"/>
    <s v="AFW"/>
  </r>
  <r>
    <s v="Angola"/>
    <s v="AGO"/>
  </r>
  <r>
    <s v="Albania"/>
    <s v="ALB"/>
  </r>
  <r>
    <s v="Andorra"/>
    <s v="AND"/>
  </r>
  <r>
    <s v="Arab World"/>
    <s v="ARB"/>
  </r>
  <r>
    <s v="United Arab Emirates"/>
    <s v="ARE"/>
  </r>
  <r>
    <s v="Argentina"/>
    <s v="ARG"/>
  </r>
  <r>
    <s v="Armenia"/>
    <s v="ARM"/>
  </r>
  <r>
    <s v="American Samoa"/>
    <s v="ASM"/>
  </r>
  <r>
    <s v="Antigua and Barbuda"/>
    <s v="ATG"/>
  </r>
  <r>
    <s v="Australia"/>
    <s v="AUS"/>
  </r>
  <r>
    <s v="Austria"/>
    <s v="AUT"/>
  </r>
  <r>
    <s v="Azerbaijan"/>
    <s v="AZE"/>
  </r>
  <r>
    <s v="Burundi"/>
    <s v="BDI"/>
  </r>
  <r>
    <s v="Belgium"/>
    <s v="BEL"/>
  </r>
  <r>
    <s v="Benin"/>
    <s v="BEN"/>
  </r>
  <r>
    <s v="Burkina Faso"/>
    <s v="BFA"/>
  </r>
  <r>
    <s v="Bangladesh"/>
    <s v="BGD"/>
  </r>
  <r>
    <s v="Bulgaria"/>
    <s v="BGR"/>
  </r>
  <r>
    <s v="Bahrain"/>
    <s v="BHR"/>
  </r>
  <r>
    <s v="Bahamas, The"/>
    <s v="BHS"/>
  </r>
  <r>
    <s v="Bosnia and Herzegovina"/>
    <s v="BIH"/>
  </r>
  <r>
    <s v="Belarus"/>
    <s v="BLR"/>
  </r>
  <r>
    <s v="Belize"/>
    <s v="BLZ"/>
  </r>
  <r>
    <s v="Bermuda"/>
    <s v="BMU"/>
  </r>
  <r>
    <s v="Bolivia"/>
    <s v="BOL"/>
  </r>
  <r>
    <s v="Brazil"/>
    <s v="BRA"/>
  </r>
  <r>
    <s v="Barbados"/>
    <s v="BRB"/>
  </r>
  <r>
    <s v="Brunei Darussalam"/>
    <s v="BRN"/>
  </r>
  <r>
    <s v="Bhutan"/>
    <s v="BTN"/>
  </r>
  <r>
    <s v="Botswana"/>
    <s v="BWA"/>
  </r>
  <r>
    <s v="Central African Republic"/>
    <s v="CAF"/>
  </r>
  <r>
    <s v="Canada"/>
    <s v="CAN"/>
  </r>
  <r>
    <s v="Central Europe and the Baltics"/>
    <s v="CEB"/>
  </r>
  <r>
    <s v="Switzerland"/>
    <s v="CHE"/>
  </r>
  <r>
    <s v="Channel Islands"/>
    <s v="CHI"/>
  </r>
  <r>
    <s v="Chile"/>
    <s v="CHL"/>
  </r>
  <r>
    <s v="China"/>
    <s v="CHN"/>
  </r>
  <r>
    <s v="Cote d'Ivoire"/>
    <s v="CIV"/>
  </r>
  <r>
    <s v="Cameroon"/>
    <s v="CMR"/>
  </r>
  <r>
    <s v="Congo, Dem. Rep."/>
    <s v="COD"/>
  </r>
  <r>
    <s v="Congo, Rep."/>
    <s v="COG"/>
  </r>
  <r>
    <s v="Colombia"/>
    <s v="COL"/>
  </r>
  <r>
    <s v="Comoros"/>
    <s v="COM"/>
  </r>
  <r>
    <s v="Cabo Verde"/>
    <s v="CPV"/>
  </r>
  <r>
    <s v="Costa Rica"/>
    <s v="CRI"/>
  </r>
  <r>
    <s v="Caribbean small states"/>
    <s v="CSS"/>
  </r>
  <r>
    <s v="Cuba"/>
    <s v="CUB"/>
  </r>
  <r>
    <s v="Curacao"/>
    <s v="CUW"/>
  </r>
  <r>
    <s v="Cayman Islands"/>
    <s v="CYM"/>
  </r>
  <r>
    <s v="Cyprus"/>
    <s v="CYP"/>
  </r>
  <r>
    <s v="Czechia"/>
    <s v="CZE"/>
  </r>
  <r>
    <s v="Germany"/>
    <s v="DEU"/>
  </r>
  <r>
    <s v="Djibouti"/>
    <s v="DJI"/>
  </r>
  <r>
    <s v="Dominica"/>
    <s v="DMA"/>
  </r>
  <r>
    <s v="Denmark"/>
    <s v="DNK"/>
  </r>
  <r>
    <s v="Dominican Republic"/>
    <s v="DOM"/>
  </r>
  <r>
    <s v="Algeria"/>
    <s v="DZA"/>
  </r>
  <r>
    <s v="East Asia &amp; Pacific (excluding high income)"/>
    <s v="EAP"/>
  </r>
  <r>
    <s v="Early-demographic dividend"/>
    <s v="EAR"/>
  </r>
  <r>
    <s v="East Asia &amp; Pacific"/>
    <s v="EAS"/>
  </r>
  <r>
    <s v="Europe &amp; Central Asia (excluding high income)"/>
    <s v="ECA"/>
  </r>
  <r>
    <s v="Europe &amp; Central Asia"/>
    <s v="ECS"/>
  </r>
  <r>
    <s v="Ecuador"/>
    <s v="ECU"/>
  </r>
  <r>
    <s v="Egypt, Arab Rep."/>
    <s v="EGY"/>
  </r>
  <r>
    <s v="Euro area"/>
    <s v="EMU"/>
  </r>
  <r>
    <s v="Eritrea"/>
    <s v="ERI"/>
  </r>
  <r>
    <s v="Spain"/>
    <s v="ESP"/>
  </r>
  <r>
    <s v="Estonia"/>
    <s v="EST"/>
  </r>
  <r>
    <s v="Ethiopia"/>
    <s v="ETH"/>
  </r>
  <r>
    <s v="European Union"/>
    <s v="EUU"/>
  </r>
  <r>
    <s v="Fragile and conflict affected situations"/>
    <s v="FCS"/>
  </r>
  <r>
    <s v="Finland"/>
    <s v="FIN"/>
  </r>
  <r>
    <s v="Fiji"/>
    <s v="FJI"/>
  </r>
  <r>
    <s v="France"/>
    <s v="FRA"/>
  </r>
  <r>
    <s v="Faroe Islands"/>
    <s v="FRO"/>
  </r>
  <r>
    <s v="Micronesia, Fed. Sts."/>
    <s v="FSM"/>
  </r>
  <r>
    <s v="Gabon"/>
    <s v="GAB"/>
  </r>
  <r>
    <s v="United Kingdom"/>
    <s v="GBR"/>
  </r>
  <r>
    <s v="Georgia"/>
    <s v="GEO"/>
  </r>
  <r>
    <s v="Ghana"/>
    <s v="GHA"/>
  </r>
  <r>
    <s v="Gibraltar"/>
    <s v="GIB"/>
  </r>
  <r>
    <s v="Guinea"/>
    <s v="GIN"/>
  </r>
  <r>
    <s v="Gambia, The"/>
    <s v="GMB"/>
  </r>
  <r>
    <s v="Guinea-Bissau"/>
    <s v="GNB"/>
  </r>
  <r>
    <s v="Equatorial Guinea"/>
    <s v="GNQ"/>
  </r>
  <r>
    <s v="Greece"/>
    <s v="GRC"/>
  </r>
  <r>
    <s v="Grenada"/>
    <s v="GRD"/>
  </r>
  <r>
    <s v="Greenland"/>
    <s v="GRL"/>
  </r>
  <r>
    <s v="Guatemala"/>
    <s v="GTM"/>
  </r>
  <r>
    <s v="Guam"/>
    <s v="GUM"/>
  </r>
  <r>
    <s v="Guyana"/>
    <s v="GUY"/>
  </r>
  <r>
    <s v="High income"/>
    <s v="HIC"/>
  </r>
  <r>
    <s v="Hong Kong SAR, China"/>
    <s v="HKG"/>
  </r>
  <r>
    <s v="Honduras"/>
    <s v="HND"/>
  </r>
  <r>
    <s v="Heavily indebted poor countries (HIPC)"/>
    <s v="HPC"/>
  </r>
  <r>
    <s v="Croatia"/>
    <s v="HRV"/>
  </r>
  <r>
    <s v="Haiti"/>
    <s v="HTI"/>
  </r>
  <r>
    <s v="Hungary"/>
    <s v="HUN"/>
  </r>
  <r>
    <s v="IBRD only"/>
    <s v="IBD"/>
  </r>
  <r>
    <s v="IDA &amp; IBRD total"/>
    <s v="IBT"/>
  </r>
  <r>
    <s v="IDA total"/>
    <s v="IDA"/>
  </r>
  <r>
    <s v="IDA blend"/>
    <s v="IDB"/>
  </r>
  <r>
    <s v="Indonesia"/>
    <s v="IDN"/>
  </r>
  <r>
    <s v="IDA only"/>
    <s v="IDX"/>
  </r>
  <r>
    <s v="Isle of Man"/>
    <s v="IMN"/>
  </r>
  <r>
    <s v="India"/>
    <s v="IND"/>
  </r>
  <r>
    <s v="Not classified"/>
    <s v="INX"/>
  </r>
  <r>
    <s v="Ireland"/>
    <s v="IRL"/>
  </r>
  <r>
    <s v="Iran, Islamic Rep."/>
    <s v="IRN"/>
  </r>
  <r>
    <s v="Iraq"/>
    <s v="IRQ"/>
  </r>
  <r>
    <s v="Iceland"/>
    <s v="ISL"/>
  </r>
  <r>
    <s v="Israel"/>
    <s v="ISR"/>
  </r>
  <r>
    <s v="Italy"/>
    <s v="ITA"/>
  </r>
  <r>
    <s v="Jamaica"/>
    <s v="JAM"/>
  </r>
  <r>
    <s v="Jordan"/>
    <s v="JOR"/>
  </r>
  <r>
    <s v="Japan"/>
    <s v="JPN"/>
  </r>
  <r>
    <s v="Kazakhstan"/>
    <s v="KAZ"/>
  </r>
  <r>
    <s v="Kenya"/>
    <s v="KEN"/>
  </r>
  <r>
    <s v="Kyrgyz Republic"/>
    <s v="KGZ"/>
  </r>
  <r>
    <s v="Cambodia"/>
    <s v="KHM"/>
  </r>
  <r>
    <s v="Kiribati"/>
    <s v="KIR"/>
  </r>
  <r>
    <s v="St. Kitts and Nevis"/>
    <s v="KNA"/>
  </r>
  <r>
    <s v="Korea, Rep."/>
    <s v="KOR"/>
  </r>
  <r>
    <s v="Kuwait"/>
    <s v="KWT"/>
  </r>
  <r>
    <s v="Latin America &amp; Caribbean (excluding high income)"/>
    <s v="LAC"/>
  </r>
  <r>
    <s v="Lao PDR"/>
    <s v="LAO"/>
  </r>
  <r>
    <s v="Lebanon"/>
    <s v="LBN"/>
  </r>
  <r>
    <s v="Liberia"/>
    <s v="LBR"/>
  </r>
  <r>
    <s v="Libya"/>
    <s v="LBY"/>
  </r>
  <r>
    <s v="St. Lucia"/>
    <s v="LCA"/>
  </r>
  <r>
    <s v="Latin America &amp; Caribbean"/>
    <s v="LCN"/>
  </r>
  <r>
    <s v="Least developed countries: UN classification"/>
    <s v="LDC"/>
  </r>
  <r>
    <s v="Low income"/>
    <s v="LIC"/>
  </r>
  <r>
    <s v="Liechtenstein"/>
    <s v="LIE"/>
  </r>
  <r>
    <s v="Sri Lanka"/>
    <s v="LKA"/>
  </r>
  <r>
    <s v="Lower middle income"/>
    <s v="LMC"/>
  </r>
  <r>
    <s v="Low &amp; middle income"/>
    <s v="LMY"/>
  </r>
  <r>
    <s v="Lesotho"/>
    <s v="LSO"/>
  </r>
  <r>
    <s v="Late-demographic dividend"/>
    <s v="LTE"/>
  </r>
  <r>
    <s v="Lithuania"/>
    <s v="LTU"/>
  </r>
  <r>
    <s v="Luxembourg"/>
    <s v="LUX"/>
  </r>
  <r>
    <s v="Latvia"/>
    <s v="LVA"/>
  </r>
  <r>
    <s v="Macao SAR, China"/>
    <s v="MAC"/>
  </r>
  <r>
    <s v="St. Martin (French part)"/>
    <s v="MAF"/>
  </r>
  <r>
    <s v="Morocco"/>
    <s v="MAR"/>
  </r>
  <r>
    <s v="Monaco"/>
    <s v="MCO"/>
  </r>
  <r>
    <s v="Moldova"/>
    <s v="MDA"/>
  </r>
  <r>
    <s v="Madagascar"/>
    <s v="MDG"/>
  </r>
  <r>
    <s v="Maldives"/>
    <s v="MDV"/>
  </r>
  <r>
    <s v="Middle East, North Africa, Afghanistan &amp; Pakistan"/>
    <s v="MEA"/>
  </r>
  <r>
    <s v="Mexico"/>
    <s v="MEX"/>
  </r>
  <r>
    <s v="Marshall Islands"/>
    <s v="MHL"/>
  </r>
  <r>
    <s v="Middle income"/>
    <s v="MIC"/>
  </r>
  <r>
    <s v="North Macedonia"/>
    <s v="MKD"/>
  </r>
  <r>
    <s v="Mali"/>
    <s v="MLI"/>
  </r>
  <r>
    <s v="Malta"/>
    <s v="MLT"/>
  </r>
  <r>
    <s v="Myanmar"/>
    <s v="MMR"/>
  </r>
  <r>
    <s v="Middle East, North Africa, Afghanistan &amp; Pakistan (excluding high income)"/>
    <s v="MNA"/>
  </r>
  <r>
    <s v="Montenegro"/>
    <s v="MNE"/>
  </r>
  <r>
    <s v="Mongolia"/>
    <s v="MNG"/>
  </r>
  <r>
    <s v="Northern Mariana Islands"/>
    <s v="MNP"/>
  </r>
  <r>
    <s v="Mozambique"/>
    <s v="MOZ"/>
  </r>
  <r>
    <s v="Mauritania"/>
    <s v="MRT"/>
  </r>
  <r>
    <s v="Mauritius"/>
    <s v="MUS"/>
  </r>
  <r>
    <s v="Malawi"/>
    <s v="MWI"/>
  </r>
  <r>
    <s v="Malaysia"/>
    <s v="MYS"/>
  </r>
  <r>
    <s v="North America"/>
    <s v="NAC"/>
  </r>
  <r>
    <s v="Namibia"/>
    <s v="NAM"/>
  </r>
  <r>
    <s v="New Caledonia"/>
    <s v="NCL"/>
  </r>
  <r>
    <s v="Niger"/>
    <s v="NER"/>
  </r>
  <r>
    <s v="Nigeria"/>
    <s v="NGA"/>
  </r>
  <r>
    <s v="Nicaragua"/>
    <s v="NIC"/>
  </r>
  <r>
    <s v="Netherlands"/>
    <s v="NLD"/>
  </r>
  <r>
    <s v="Norway"/>
    <s v="NOR"/>
  </r>
  <r>
    <s v="Nepal"/>
    <s v="NPL"/>
  </r>
  <r>
    <s v="Nauru"/>
    <s v="NRU"/>
  </r>
  <r>
    <s v="New Zealand"/>
    <s v="NZL"/>
  </r>
  <r>
    <s v="OECD members"/>
    <s v="OED"/>
  </r>
  <r>
    <s v="Oman"/>
    <s v="OMN"/>
  </r>
  <r>
    <s v="Other small states"/>
    <s v="OSS"/>
  </r>
  <r>
    <s v="Pakistan"/>
    <s v="PAK"/>
  </r>
  <r>
    <s v="Panama"/>
    <s v="PAN"/>
  </r>
  <r>
    <s v="Peru"/>
    <s v="PER"/>
  </r>
  <r>
    <s v="Philippines"/>
    <s v="PHL"/>
  </r>
  <r>
    <s v="Palau"/>
    <s v="PLW"/>
  </r>
  <r>
    <s v="Papua New Guinea"/>
    <s v="PNG"/>
  </r>
  <r>
    <s v="Poland"/>
    <s v="POL"/>
  </r>
  <r>
    <s v="Pre-demographic dividend"/>
    <s v="PRE"/>
  </r>
  <r>
    <s v="Puerto Rico (US)"/>
    <s v="PRI"/>
  </r>
  <r>
    <s v="Korea, Dem. People's Rep."/>
    <s v="PRK"/>
  </r>
  <r>
    <s v="Portugal"/>
    <s v="PRT"/>
  </r>
  <r>
    <s v="Paraguay"/>
    <s v="PRY"/>
  </r>
  <r>
    <s v="West Bank and Gaza"/>
    <s v="PSE"/>
  </r>
  <r>
    <s v="Pacific island small states"/>
    <s v="PSS"/>
  </r>
  <r>
    <s v="Post-demographic dividend"/>
    <s v="PST"/>
  </r>
  <r>
    <s v="French Polynesia"/>
    <s v="PYF"/>
  </r>
  <r>
    <s v="Qatar"/>
    <s v="QAT"/>
  </r>
  <r>
    <s v="Romania"/>
    <s v="ROU"/>
  </r>
  <r>
    <s v="Russian Federation"/>
    <s v="RUS"/>
  </r>
  <r>
    <s v="Rwanda"/>
    <s v="RWA"/>
  </r>
  <r>
    <s v="South Asia"/>
    <s v="SAS"/>
  </r>
  <r>
    <s v="Saudi Arabia"/>
    <s v="SAU"/>
  </r>
  <r>
    <s v="Sudan"/>
    <s v="SDN"/>
  </r>
  <r>
    <s v="Senegal"/>
    <s v="SEN"/>
  </r>
  <r>
    <s v="Singapore"/>
    <s v="SGP"/>
  </r>
  <r>
    <s v="Solomon Islands"/>
    <s v="SLB"/>
  </r>
  <r>
    <s v="Sierra Leone"/>
    <s v="SLE"/>
  </r>
  <r>
    <s v="El Salvador"/>
    <s v="SLV"/>
  </r>
  <r>
    <s v="San Marino"/>
    <s v="SMR"/>
  </r>
  <r>
    <s v="Somalia, Fed. Rep."/>
    <s v="SOM"/>
  </r>
  <r>
    <s v="Serbia"/>
    <s v="SRB"/>
  </r>
  <r>
    <s v="Sub-Saharan Africa (excluding high income)"/>
    <s v="SSA"/>
  </r>
  <r>
    <s v="South Sudan"/>
    <s v="SSD"/>
  </r>
  <r>
    <s v="Sub-Saharan Africa"/>
    <s v="SSF"/>
  </r>
  <r>
    <s v="Small states"/>
    <s v="SST"/>
  </r>
  <r>
    <s v="Sao Tome and Principe"/>
    <s v="STP"/>
  </r>
  <r>
    <s v="Suriname"/>
    <s v="SUR"/>
  </r>
  <r>
    <s v="Slovak Republic"/>
    <s v="SVK"/>
  </r>
  <r>
    <s v="Slovenia"/>
    <s v="SVN"/>
  </r>
  <r>
    <s v="Sweden"/>
    <s v="SWE"/>
  </r>
  <r>
    <s v="Eswatini"/>
    <s v="SWZ"/>
  </r>
  <r>
    <s v="Sint Maarten (Dutch part)"/>
    <s v="SXM"/>
  </r>
  <r>
    <s v="Seychelles"/>
    <s v="SYC"/>
  </r>
  <r>
    <s v="Syrian Arab Republic"/>
    <s v="SYR"/>
  </r>
  <r>
    <s v="Turks and Caicos Islands"/>
    <s v="TCA"/>
  </r>
  <r>
    <s v="Chad"/>
    <s v="TCD"/>
  </r>
  <r>
    <s v="East Asia &amp; Pacific (IDA &amp; IBRD countries)"/>
    <s v="TEA"/>
  </r>
  <r>
    <s v="Europe &amp; Central Asia (IDA &amp; IBRD countries)"/>
    <s v="TEC"/>
  </r>
  <r>
    <s v="Togo"/>
    <s v="TGO"/>
  </r>
  <r>
    <s v="Thailand"/>
    <s v="THA"/>
  </r>
  <r>
    <s v="Tajikistan"/>
    <s v="TJK"/>
  </r>
  <r>
    <s v="Turkmenistan"/>
    <s v="TKM"/>
  </r>
  <r>
    <s v="Latin America &amp; the Caribbean (IDA &amp; IBRD countries)"/>
    <s v="TLA"/>
  </r>
  <r>
    <s v="Timor-Leste"/>
    <s v="TLS"/>
  </r>
  <r>
    <s v="Middle East, North Africa, Afghanistan &amp; Pakistan (IDA &amp; IBRD)"/>
    <s v="TMN"/>
  </r>
  <r>
    <s v="Tonga"/>
    <s v="TON"/>
  </r>
  <r>
    <s v="South Asia (IDA &amp; IBRD)"/>
    <s v="TSA"/>
  </r>
  <r>
    <s v="Sub-Saharan Africa (IDA &amp; IBRD countries)"/>
    <s v="TSS"/>
  </r>
  <r>
    <s v="Trinidad and Tobago"/>
    <s v="TTO"/>
  </r>
  <r>
    <s v="Tunisia"/>
    <s v="TUN"/>
  </r>
  <r>
    <s v="Turkiye"/>
    <s v="TUR"/>
  </r>
  <r>
    <s v="Tuvalu"/>
    <s v="TUV"/>
  </r>
  <r>
    <s v="Tanzania"/>
    <s v="TZA"/>
  </r>
  <r>
    <s v="Uganda"/>
    <s v="UGA"/>
  </r>
  <r>
    <s v="Ukraine"/>
    <s v="UKR"/>
  </r>
  <r>
    <s v="Upper middle income"/>
    <s v="UMC"/>
  </r>
  <r>
    <s v="Uruguay"/>
    <s v="URY"/>
  </r>
  <r>
    <s v="United States"/>
    <s v="USA"/>
  </r>
  <r>
    <s v="Uzbekistan"/>
    <s v="UZB"/>
  </r>
  <r>
    <s v="St. Vincent and the Grenadines"/>
    <s v="VCT"/>
  </r>
  <r>
    <s v="Venezuela, RB"/>
    <s v="VEN"/>
  </r>
  <r>
    <s v="British Virgin Islands"/>
    <s v="VGB"/>
  </r>
  <r>
    <s v="Virgin Islands (U.S.)"/>
    <s v="VIR"/>
  </r>
  <r>
    <s v="Viet Nam"/>
    <s v="VNM"/>
  </r>
  <r>
    <s v="Vanuatu"/>
    <s v="VUT"/>
  </r>
  <r>
    <s v="World"/>
    <s v="WLD"/>
  </r>
  <r>
    <s v="Samoa"/>
    <s v="WSM"/>
  </r>
  <r>
    <s v="Kosovo"/>
    <s v="XKX"/>
  </r>
  <r>
    <s v="Yemen, Rep."/>
    <s v="YEM"/>
  </r>
  <r>
    <s v="South Africa"/>
    <s v="ZAF"/>
  </r>
  <r>
    <s v="Zambia"/>
    <s v="ZMB"/>
  </r>
  <r>
    <s v="Zimbabwe"/>
    <s v="ZWE"/>
  </r>
  <r>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EF236B-9E84-42B8-B942-2D96B8E17B2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8" firstHeaderRow="0" firstDataRow="1" firstDataCol="1"/>
  <pivotFields count="9">
    <pivotField showAll="0"/>
    <pivotField showAll="0"/>
    <pivotField dataField="1" showAll="0"/>
    <pivotField dataField="1" showAll="0"/>
    <pivotField dataField="1" showAll="0"/>
    <pivotField dataField="1" showAll="0">
      <items count="95">
        <item x="63"/>
        <item x="14"/>
        <item x="15"/>
        <item x="36"/>
        <item x="46"/>
        <item x="77"/>
        <item x="45"/>
        <item x="74"/>
        <item x="55"/>
        <item x="64"/>
        <item x="10"/>
        <item x="28"/>
        <item x="71"/>
        <item x="19"/>
        <item x="65"/>
        <item x="47"/>
        <item x="27"/>
        <item x="50"/>
        <item x="58"/>
        <item x="79"/>
        <item x="7"/>
        <item x="93"/>
        <item x="22"/>
        <item x="86"/>
        <item x="72"/>
        <item x="69"/>
        <item x="44"/>
        <item x="66"/>
        <item x="88"/>
        <item x="42"/>
        <item x="83"/>
        <item x="18"/>
        <item x="78"/>
        <item x="12"/>
        <item x="26"/>
        <item x="76"/>
        <item x="24"/>
        <item x="11"/>
        <item x="8"/>
        <item x="21"/>
        <item x="41"/>
        <item x="35"/>
        <item x="23"/>
        <item x="75"/>
        <item x="40"/>
        <item x="43"/>
        <item x="30"/>
        <item x="31"/>
        <item x="61"/>
        <item x="20"/>
        <item x="51"/>
        <item x="3"/>
        <item x="39"/>
        <item x="80"/>
        <item x="68"/>
        <item x="85"/>
        <item x="34"/>
        <item x="32"/>
        <item x="52"/>
        <item x="25"/>
        <item x="4"/>
        <item x="37"/>
        <item x="70"/>
        <item x="53"/>
        <item x="6"/>
        <item x="91"/>
        <item x="2"/>
        <item x="9"/>
        <item x="54"/>
        <item x="56"/>
        <item x="5"/>
        <item x="87"/>
        <item x="82"/>
        <item x="16"/>
        <item x="29"/>
        <item x="33"/>
        <item x="1"/>
        <item x="89"/>
        <item x="90"/>
        <item x="81"/>
        <item x="17"/>
        <item x="13"/>
        <item x="92"/>
        <item x="59"/>
        <item x="38"/>
        <item x="57"/>
        <item x="60"/>
        <item x="62"/>
        <item x="84"/>
        <item x="48"/>
        <item x="49"/>
        <item x="67"/>
        <item x="73"/>
        <item x="0"/>
        <item t="default"/>
      </items>
    </pivotField>
    <pivotField axis="axisRow" showAll="0">
      <items count="5">
        <item x="2"/>
        <item x="0"/>
        <item x="3"/>
        <item x="1"/>
        <item t="default"/>
      </items>
    </pivotField>
    <pivotField showAll="0">
      <items count="8">
        <item x="2"/>
        <item x="1"/>
        <item x="4"/>
        <item x="0"/>
        <item x="6"/>
        <item x="5"/>
        <item x="3"/>
        <item t="default"/>
      </items>
    </pivotField>
    <pivotField showAll="0"/>
  </pivotFields>
  <rowFields count="1">
    <field x="6"/>
  </rowFields>
  <rowItems count="5">
    <i>
      <x/>
    </i>
    <i>
      <x v="1"/>
    </i>
    <i>
      <x v="2"/>
    </i>
    <i>
      <x v="3"/>
    </i>
    <i t="grand">
      <x/>
    </i>
  </rowItems>
  <colFields count="1">
    <field x="-2"/>
  </colFields>
  <colItems count="4">
    <i>
      <x/>
    </i>
    <i i="1">
      <x v="1"/>
    </i>
    <i i="2">
      <x v="2"/>
    </i>
    <i i="3">
      <x v="3"/>
    </i>
  </colItems>
  <dataFields count="4">
    <dataField name="Average of 2024" fld="5" subtotal="average" baseField="6" baseItem="0"/>
    <dataField name="Average of 2023" fld="4" subtotal="average" baseField="6" baseItem="0"/>
    <dataField name="Average of 2022" fld="3" subtotal="average" baseField="6" baseItem="0"/>
    <dataField name="Average of 2021" fld="2" subtotal="average" baseField="6" baseItem="0"/>
  </dataFields>
  <formats count="7">
    <format dxfId="14">
      <pivotArea outline="0" collapsedLevelsAreSubtotals="1" fieldPosition="0"/>
    </format>
    <format dxfId="13">
      <pivotArea type="all" dataOnly="0" outline="0" fieldPosition="0"/>
    </format>
    <format dxfId="12">
      <pivotArea outline="0" collapsedLevelsAreSubtotals="1" fieldPosition="0"/>
    </format>
    <format dxfId="11">
      <pivotArea field="6" type="button" dataOnly="0" labelOnly="1" outline="0" axis="axisRow" fieldPosition="0"/>
    </format>
    <format dxfId="10">
      <pivotArea dataOnly="0" labelOnly="1" fieldPosition="0">
        <references count="1">
          <reference field="6" count="0"/>
        </references>
      </pivotArea>
    </format>
    <format dxfId="9">
      <pivotArea dataOnly="0" labelOnly="1" grandRow="1" outline="0" fieldPosition="0"/>
    </format>
    <format dxfId="8">
      <pivotArea dataOnly="0" labelOnly="1" outline="0" fieldPosition="0">
        <references count="1">
          <reference field="4294967294" count="4">
            <x v="0"/>
            <x v="1"/>
            <x v="2"/>
            <x v="3"/>
          </reference>
        </references>
      </pivotArea>
    </format>
  </formats>
  <chartFormats count="8">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1"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F52E0-F123-4286-B5F8-CB6B83AD831A}" name="PivotTable3" cacheId="1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1:E35" firstHeaderRow="1" firstDataRow="2" firstDataCol="1"/>
  <pivotFields count="9">
    <pivotField showAll="0"/>
    <pivotField showAll="0"/>
    <pivotField showAll="0"/>
    <pivotField dataField="1" showAll="0"/>
    <pivotField dataField="1" showAll="0"/>
    <pivotField dataField="1" showAll="0">
      <items count="95">
        <item x="63"/>
        <item x="14"/>
        <item x="15"/>
        <item x="36"/>
        <item x="46"/>
        <item x="77"/>
        <item x="45"/>
        <item x="74"/>
        <item x="55"/>
        <item x="64"/>
        <item x="10"/>
        <item x="28"/>
        <item x="71"/>
        <item x="19"/>
        <item x="65"/>
        <item x="47"/>
        <item x="27"/>
        <item x="50"/>
        <item x="58"/>
        <item x="79"/>
        <item x="7"/>
        <item x="93"/>
        <item x="22"/>
        <item x="86"/>
        <item x="72"/>
        <item x="69"/>
        <item x="44"/>
        <item x="66"/>
        <item x="88"/>
        <item x="42"/>
        <item x="83"/>
        <item x="18"/>
        <item x="78"/>
        <item x="12"/>
        <item x="26"/>
        <item x="76"/>
        <item x="24"/>
        <item x="11"/>
        <item x="8"/>
        <item x="21"/>
        <item x="41"/>
        <item x="35"/>
        <item x="23"/>
        <item x="75"/>
        <item x="40"/>
        <item x="43"/>
        <item x="30"/>
        <item x="31"/>
        <item x="61"/>
        <item x="20"/>
        <item x="51"/>
        <item x="3"/>
        <item x="39"/>
        <item x="80"/>
        <item x="68"/>
        <item x="85"/>
        <item x="34"/>
        <item x="32"/>
        <item x="52"/>
        <item x="25"/>
        <item x="4"/>
        <item x="37"/>
        <item x="70"/>
        <item x="53"/>
        <item x="6"/>
        <item x="91"/>
        <item x="2"/>
        <item x="9"/>
        <item x="54"/>
        <item x="56"/>
        <item x="5"/>
        <item x="87"/>
        <item x="82"/>
        <item x="16"/>
        <item x="29"/>
        <item x="33"/>
        <item x="1"/>
        <item x="89"/>
        <item x="90"/>
        <item x="81"/>
        <item x="17"/>
        <item x="13"/>
        <item x="92"/>
        <item x="59"/>
        <item x="38"/>
        <item x="57"/>
        <item x="60"/>
        <item x="62"/>
        <item x="84"/>
        <item x="48"/>
        <item x="49"/>
        <item x="67"/>
        <item x="73"/>
        <item x="0"/>
        <item t="default"/>
      </items>
    </pivotField>
    <pivotField showAll="0">
      <items count="5">
        <item x="2"/>
        <item x="0"/>
        <item x="3"/>
        <item x="1"/>
        <item t="default"/>
      </items>
    </pivotField>
    <pivotField showAll="0">
      <items count="8">
        <item x="2"/>
        <item x="1"/>
        <item x="4"/>
        <item x="0"/>
        <item x="6"/>
        <item x="5"/>
        <item x="3"/>
        <item t="default"/>
      </items>
    </pivotField>
    <pivotField axis="axisCol" showAll="0">
      <items count="4">
        <item x="0"/>
        <item x="1"/>
        <item x="2"/>
        <item t="default"/>
      </items>
    </pivotField>
  </pivotFields>
  <rowFields count="1">
    <field x="-2"/>
  </rowFields>
  <rowItems count="3">
    <i>
      <x/>
    </i>
    <i i="1">
      <x v="1"/>
    </i>
    <i i="2">
      <x v="2"/>
    </i>
  </rowItems>
  <colFields count="1">
    <field x="8"/>
  </colFields>
  <colItems count="4">
    <i>
      <x/>
    </i>
    <i>
      <x v="1"/>
    </i>
    <i>
      <x v="2"/>
    </i>
    <i t="grand">
      <x/>
    </i>
  </colItems>
  <dataFields count="3">
    <dataField name="Average of 2024" fld="5" subtotal="average" baseField="8" baseItem="1"/>
    <dataField name="Average of 2023" fld="4" subtotal="average" baseField="8" baseItem="1"/>
    <dataField name="Average of 2022" fld="3" subtotal="average" baseField="8" baseItem="1"/>
  </dataFields>
  <formats count="6">
    <format dxfId="0">
      <pivotArea outline="0" collapsedLevelsAreSubtotals="1" fieldPosition="0"/>
    </format>
    <format dxfId="1">
      <pivotArea type="all" dataOnly="0" outline="0" fieldPosition="0"/>
    </format>
    <format dxfId="2">
      <pivotArea outline="0" collapsedLevelsAreSubtotals="1" fieldPosition="0"/>
    </format>
    <format dxfId="3">
      <pivotArea field="7" type="button" dataOnly="0" labelOnly="1" outline="0"/>
    </format>
    <format dxfId="4">
      <pivotArea dataOnly="0" labelOnly="1" grandRow="1" outline="0" fieldPosition="0"/>
    </format>
    <format dxfId="5">
      <pivotArea dataOnly="0" labelOnly="1" outline="0" axis="axisValues" fieldPosition="0"/>
    </format>
  </formats>
  <chartFormats count="6">
    <chartFormat chart="13" format="6" series="1">
      <pivotArea type="data" outline="0" fieldPosition="0">
        <references count="2">
          <reference field="4294967294" count="1" selected="0">
            <x v="0"/>
          </reference>
          <reference field="8" count="1" selected="0">
            <x v="0"/>
          </reference>
        </references>
      </pivotArea>
    </chartFormat>
    <chartFormat chart="13" format="7" series="1">
      <pivotArea type="data" outline="0" fieldPosition="0">
        <references count="2">
          <reference field="4294967294" count="1" selected="0">
            <x v="0"/>
          </reference>
          <reference field="8" count="1" selected="0">
            <x v="1"/>
          </reference>
        </references>
      </pivotArea>
    </chartFormat>
    <chartFormat chart="13" format="8" series="1">
      <pivotArea type="data" outline="0" fieldPosition="0">
        <references count="2">
          <reference field="4294967294" count="1" selected="0">
            <x v="0"/>
          </reference>
          <reference field="8" count="1" selected="0">
            <x v="2"/>
          </reference>
        </references>
      </pivotArea>
    </chartFormat>
    <chartFormat chart="15" format="12" series="1">
      <pivotArea type="data" outline="0" fieldPosition="0">
        <references count="2">
          <reference field="4294967294" count="1" selected="0">
            <x v="0"/>
          </reference>
          <reference field="8" count="1" selected="0">
            <x v="0"/>
          </reference>
        </references>
      </pivotArea>
    </chartFormat>
    <chartFormat chart="15" format="13" series="1">
      <pivotArea type="data" outline="0" fieldPosition="0">
        <references count="2">
          <reference field="4294967294" count="1" selected="0">
            <x v="0"/>
          </reference>
          <reference field="8" count="1" selected="0">
            <x v="1"/>
          </reference>
        </references>
      </pivotArea>
    </chartFormat>
    <chartFormat chart="15" format="1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C31F6-CAEB-4A78-8CD7-5203C67BB2EC}"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B23" firstHeaderRow="1" firstDataRow="1" firstDataCol="1" rowPageCount="1" colPageCount="1"/>
  <pivotFields count="9">
    <pivotField showAll="0"/>
    <pivotField showAll="0"/>
    <pivotField showAll="0"/>
    <pivotField showAll="0"/>
    <pivotField showAll="0"/>
    <pivotField dataField="1" showAll="0">
      <items count="95">
        <item x="63"/>
        <item x="14"/>
        <item x="15"/>
        <item x="36"/>
        <item x="46"/>
        <item x="77"/>
        <item x="45"/>
        <item x="74"/>
        <item x="55"/>
        <item x="64"/>
        <item x="10"/>
        <item x="28"/>
        <item x="71"/>
        <item x="19"/>
        <item x="65"/>
        <item x="47"/>
        <item x="27"/>
        <item x="50"/>
        <item x="58"/>
        <item x="79"/>
        <item x="7"/>
        <item x="93"/>
        <item x="22"/>
        <item x="86"/>
        <item x="72"/>
        <item x="69"/>
        <item x="44"/>
        <item x="66"/>
        <item x="88"/>
        <item x="42"/>
        <item x="83"/>
        <item x="18"/>
        <item x="78"/>
        <item x="12"/>
        <item x="26"/>
        <item x="76"/>
        <item x="24"/>
        <item x="11"/>
        <item x="8"/>
        <item x="21"/>
        <item x="41"/>
        <item x="35"/>
        <item x="23"/>
        <item x="75"/>
        <item x="40"/>
        <item x="43"/>
        <item x="30"/>
        <item x="31"/>
        <item x="61"/>
        <item x="20"/>
        <item x="51"/>
        <item x="3"/>
        <item x="39"/>
        <item x="80"/>
        <item x="68"/>
        <item x="85"/>
        <item x="34"/>
        <item x="32"/>
        <item x="52"/>
        <item x="25"/>
        <item x="4"/>
        <item x="37"/>
        <item x="70"/>
        <item x="53"/>
        <item x="6"/>
        <item x="91"/>
        <item x="2"/>
        <item x="9"/>
        <item x="54"/>
        <item x="56"/>
        <item x="5"/>
        <item x="87"/>
        <item x="82"/>
        <item x="16"/>
        <item x="29"/>
        <item x="33"/>
        <item x="1"/>
        <item x="89"/>
        <item x="90"/>
        <item x="81"/>
        <item x="17"/>
        <item x="13"/>
        <item x="92"/>
        <item x="59"/>
        <item x="38"/>
        <item x="57"/>
        <item x="60"/>
        <item x="62"/>
        <item x="84"/>
        <item x="48"/>
        <item x="49"/>
        <item x="67"/>
        <item x="73"/>
        <item x="0"/>
        <item t="default"/>
      </items>
    </pivotField>
    <pivotField axis="axisPage" showAll="0">
      <items count="5">
        <item x="2"/>
        <item x="0"/>
        <item x="3"/>
        <item x="1"/>
        <item t="default"/>
      </items>
    </pivotField>
    <pivotField axis="axisRow" showAll="0">
      <items count="8">
        <item x="2"/>
        <item x="1"/>
        <item x="4"/>
        <item x="0"/>
        <item x="6"/>
        <item x="5"/>
        <item x="3"/>
        <item t="default"/>
      </items>
    </pivotField>
    <pivotField showAll="0"/>
  </pivotFields>
  <rowFields count="1">
    <field x="7"/>
  </rowFields>
  <rowItems count="8">
    <i>
      <x/>
    </i>
    <i>
      <x v="1"/>
    </i>
    <i>
      <x v="2"/>
    </i>
    <i>
      <x v="3"/>
    </i>
    <i>
      <x v="4"/>
    </i>
    <i>
      <x v="5"/>
    </i>
    <i>
      <x v="6"/>
    </i>
    <i t="grand">
      <x/>
    </i>
  </rowItems>
  <colItems count="1">
    <i/>
  </colItems>
  <pageFields count="1">
    <pageField fld="6" hier="-1"/>
  </pageFields>
  <dataFields count="1">
    <dataField name="Average of 2024" fld="5" subtotal="average" baseField="6" baseItem="0"/>
  </dataFields>
  <formats count="7">
    <format dxfId="21">
      <pivotArea outline="0" collapsedLevelsAreSubtotals="1" fieldPosition="0"/>
    </format>
    <format dxfId="20">
      <pivotArea type="all" dataOnly="0" outline="0" fieldPosition="0"/>
    </format>
    <format dxfId="19">
      <pivotArea outline="0" collapsedLevelsAreSubtotals="1" fieldPosition="0"/>
    </format>
    <format dxfId="18">
      <pivotArea field="7" type="button" dataOnly="0" labelOnly="1" outline="0" axis="axisRow" fieldPosition="0"/>
    </format>
    <format dxfId="17">
      <pivotArea dataOnly="0" labelOnly="1" fieldPosition="0">
        <references count="1">
          <reference field="7" count="0"/>
        </references>
      </pivotArea>
    </format>
    <format dxfId="16">
      <pivotArea dataOnly="0" labelOnly="1" grandRow="1" outline="0" fieldPosition="0"/>
    </format>
    <format dxfId="1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801546-0C76-4274-AA6E-E0922BB5A2CA}" name="PivotTable3" cacheId="1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8" firstHeaderRow="0" firstDataRow="1" firstDataCol="1"/>
  <pivotFields count="9">
    <pivotField showAll="0"/>
    <pivotField showAll="0"/>
    <pivotField dataField="1" showAll="0"/>
    <pivotField dataField="1" showAll="0"/>
    <pivotField dataField="1" showAll="0"/>
    <pivotField dataField="1" showAll="0"/>
    <pivotField axis="axisRow" showAll="0">
      <items count="5">
        <item x="2"/>
        <item x="0"/>
        <item x="3"/>
        <item x="1"/>
        <item t="default"/>
      </items>
    </pivotField>
    <pivotField showAll="0"/>
    <pivotField showAll="0"/>
  </pivotFields>
  <rowFields count="1">
    <field x="6"/>
  </rowFields>
  <rowItems count="5">
    <i>
      <x/>
    </i>
    <i>
      <x v="1"/>
    </i>
    <i>
      <x v="2"/>
    </i>
    <i>
      <x v="3"/>
    </i>
    <i t="grand">
      <x/>
    </i>
  </rowItems>
  <colFields count="1">
    <field x="-2"/>
  </colFields>
  <colItems count="4">
    <i>
      <x/>
    </i>
    <i i="1">
      <x v="1"/>
    </i>
    <i i="2">
      <x v="2"/>
    </i>
    <i i="3">
      <x v="3"/>
    </i>
  </colItems>
  <dataFields count="4">
    <dataField name="Average of 2021" fld="2" subtotal="average" baseField="6" baseItem="0"/>
    <dataField name="Average of 2022" fld="3" subtotal="average" baseField="6" baseItem="0"/>
    <dataField name="Average of 2023" fld="4" subtotal="average" baseField="6" baseItem="0"/>
    <dataField name="Average of 2024" fld="5" subtotal="average" baseField="6" baseItem="0"/>
  </dataFields>
  <chartFormats count="4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2">
          <reference field="4294967294" count="1" selected="0">
            <x v="0"/>
          </reference>
          <reference field="6" count="1" selected="0">
            <x v="2"/>
          </reference>
        </references>
      </pivotArea>
    </chartFormat>
    <chartFormat chart="2" format="7" series="1">
      <pivotArea type="data" outline="0" fieldPosition="0">
        <references count="2">
          <reference field="4294967294" count="1" selected="0">
            <x v="0"/>
          </reference>
          <reference field="6" count="1" selected="0">
            <x v="3"/>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3"/>
          </reference>
          <reference field="6" count="1" selected="0">
            <x v="0"/>
          </reference>
        </references>
      </pivotArea>
    </chartFormat>
    <chartFormat chart="2" format="10">
      <pivotArea type="data" outline="0" fieldPosition="0">
        <references count="2">
          <reference field="4294967294" count="1" selected="0">
            <x v="2"/>
          </reference>
          <reference field="6" count="1" selected="0">
            <x v="0"/>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3"/>
          </reference>
          <reference field="6" count="1" selected="0">
            <x v="2"/>
          </reference>
        </references>
      </pivotArea>
    </chartFormat>
    <chartFormat chart="2" format="13">
      <pivotArea type="data" outline="0" fieldPosition="0">
        <references count="2">
          <reference field="4294967294" count="1" selected="0">
            <x v="1"/>
          </reference>
          <reference field="6" count="1" selected="0">
            <x v="2"/>
          </reference>
        </references>
      </pivotArea>
    </chartFormat>
    <chartFormat chart="2" format="14">
      <pivotArea type="data" outline="0" fieldPosition="0">
        <references count="2">
          <reference field="4294967294" count="1" selected="0">
            <x v="2"/>
          </reference>
          <reference field="6" count="1" selected="0">
            <x v="2"/>
          </reference>
        </references>
      </pivotArea>
    </chartFormat>
    <chartFormat chart="2" format="15">
      <pivotArea type="data" outline="0" fieldPosition="0">
        <references count="2">
          <reference field="4294967294" count="1" selected="0">
            <x v="0"/>
          </reference>
          <reference field="6" count="1" selected="0">
            <x v="3"/>
          </reference>
        </references>
      </pivotArea>
    </chartFormat>
    <chartFormat chart="2" format="16">
      <pivotArea type="data" outline="0" fieldPosition="0">
        <references count="2">
          <reference field="4294967294" count="1" selected="0">
            <x v="3"/>
          </reference>
          <reference field="6" count="1" selected="0">
            <x v="3"/>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6" count="1" selected="0">
            <x v="0"/>
          </reference>
        </references>
      </pivotArea>
    </chartFormat>
    <chartFormat chart="13" format="19">
      <pivotArea type="data" outline="0" fieldPosition="0">
        <references count="2">
          <reference field="4294967294" count="1" selected="0">
            <x v="0"/>
          </reference>
          <reference field="6" count="1" selected="0">
            <x v="2"/>
          </reference>
        </references>
      </pivotArea>
    </chartFormat>
    <chartFormat chart="13" format="20">
      <pivotArea type="data" outline="0" fieldPosition="0">
        <references count="2">
          <reference field="4294967294" count="1" selected="0">
            <x v="0"/>
          </reference>
          <reference field="6" count="1" selected="0">
            <x v="3"/>
          </reference>
        </references>
      </pivotArea>
    </chartFormat>
    <chartFormat chart="13" format="21" series="1">
      <pivotArea type="data" outline="0" fieldPosition="0">
        <references count="1">
          <reference field="4294967294" count="1" selected="0">
            <x v="1"/>
          </reference>
        </references>
      </pivotArea>
    </chartFormat>
    <chartFormat chart="13" format="22">
      <pivotArea type="data" outline="0" fieldPosition="0">
        <references count="2">
          <reference field="4294967294" count="1" selected="0">
            <x v="1"/>
          </reference>
          <reference field="6" count="1" selected="0">
            <x v="2"/>
          </reference>
        </references>
      </pivotArea>
    </chartFormat>
    <chartFormat chart="13" format="23" series="1">
      <pivotArea type="data" outline="0" fieldPosition="0">
        <references count="1">
          <reference field="4294967294" count="1" selected="0">
            <x v="2"/>
          </reference>
        </references>
      </pivotArea>
    </chartFormat>
    <chartFormat chart="13" format="24">
      <pivotArea type="data" outline="0" fieldPosition="0">
        <references count="2">
          <reference field="4294967294" count="1" selected="0">
            <x v="2"/>
          </reference>
          <reference field="6" count="1" selected="0">
            <x v="0"/>
          </reference>
        </references>
      </pivotArea>
    </chartFormat>
    <chartFormat chart="13" format="25">
      <pivotArea type="data" outline="0" fieldPosition="0">
        <references count="2">
          <reference field="4294967294" count="1" selected="0">
            <x v="2"/>
          </reference>
          <reference field="6" count="1" selected="0">
            <x v="2"/>
          </reference>
        </references>
      </pivotArea>
    </chartFormat>
    <chartFormat chart="13" format="26" series="1">
      <pivotArea type="data" outline="0" fieldPosition="0">
        <references count="1">
          <reference field="4294967294" count="1" selected="0">
            <x v="3"/>
          </reference>
        </references>
      </pivotArea>
    </chartFormat>
    <chartFormat chart="13" format="27">
      <pivotArea type="data" outline="0" fieldPosition="0">
        <references count="2">
          <reference field="4294967294" count="1" selected="0">
            <x v="3"/>
          </reference>
          <reference field="6" count="1" selected="0">
            <x v="0"/>
          </reference>
        </references>
      </pivotArea>
    </chartFormat>
    <chartFormat chart="13" format="28">
      <pivotArea type="data" outline="0" fieldPosition="0">
        <references count="2">
          <reference field="4294967294" count="1" selected="0">
            <x v="3"/>
          </reference>
          <reference field="6" count="1" selected="0">
            <x v="2"/>
          </reference>
        </references>
      </pivotArea>
    </chartFormat>
    <chartFormat chart="13" format="29">
      <pivotArea type="data" outline="0" fieldPosition="0">
        <references count="2">
          <reference field="4294967294" count="1" selected="0">
            <x v="3"/>
          </reference>
          <reference field="6" count="1" selected="0">
            <x v="3"/>
          </reference>
        </references>
      </pivotArea>
    </chartFormat>
    <chartFormat chart="14" format="30" series="1">
      <pivotArea type="data" outline="0" fieldPosition="0">
        <references count="1">
          <reference field="4294967294" count="1" selected="0">
            <x v="0"/>
          </reference>
        </references>
      </pivotArea>
    </chartFormat>
    <chartFormat chart="14" format="31">
      <pivotArea type="data" outline="0" fieldPosition="0">
        <references count="2">
          <reference field="4294967294" count="1" selected="0">
            <x v="0"/>
          </reference>
          <reference field="6" count="1" selected="0">
            <x v="0"/>
          </reference>
        </references>
      </pivotArea>
    </chartFormat>
    <chartFormat chart="14" format="32">
      <pivotArea type="data" outline="0" fieldPosition="0">
        <references count="2">
          <reference field="4294967294" count="1" selected="0">
            <x v="0"/>
          </reference>
          <reference field="6" count="1" selected="0">
            <x v="2"/>
          </reference>
        </references>
      </pivotArea>
    </chartFormat>
    <chartFormat chart="14" format="33">
      <pivotArea type="data" outline="0" fieldPosition="0">
        <references count="2">
          <reference field="4294967294" count="1" selected="0">
            <x v="0"/>
          </reference>
          <reference field="6" count="1" selected="0">
            <x v="3"/>
          </reference>
        </references>
      </pivotArea>
    </chartFormat>
    <chartFormat chart="14" format="34" series="1">
      <pivotArea type="data" outline="0" fieldPosition="0">
        <references count="1">
          <reference field="4294967294" count="1" selected="0">
            <x v="1"/>
          </reference>
        </references>
      </pivotArea>
    </chartFormat>
    <chartFormat chart="14" format="35">
      <pivotArea type="data" outline="0" fieldPosition="0">
        <references count="2">
          <reference field="4294967294" count="1" selected="0">
            <x v="1"/>
          </reference>
          <reference field="6" count="1" selected="0">
            <x v="2"/>
          </reference>
        </references>
      </pivotArea>
    </chartFormat>
    <chartFormat chart="14" format="36" series="1">
      <pivotArea type="data" outline="0" fieldPosition="0">
        <references count="1">
          <reference field="4294967294" count="1" selected="0">
            <x v="2"/>
          </reference>
        </references>
      </pivotArea>
    </chartFormat>
    <chartFormat chart="14" format="37">
      <pivotArea type="data" outline="0" fieldPosition="0">
        <references count="2">
          <reference field="4294967294" count="1" selected="0">
            <x v="2"/>
          </reference>
          <reference field="6" count="1" selected="0">
            <x v="0"/>
          </reference>
        </references>
      </pivotArea>
    </chartFormat>
    <chartFormat chart="14" format="38">
      <pivotArea type="data" outline="0" fieldPosition="0">
        <references count="2">
          <reference field="4294967294" count="1" selected="0">
            <x v="2"/>
          </reference>
          <reference field="6" count="1" selected="0">
            <x v="2"/>
          </reference>
        </references>
      </pivotArea>
    </chartFormat>
    <chartFormat chart="14" format="39" series="1">
      <pivotArea type="data" outline="0" fieldPosition="0">
        <references count="1">
          <reference field="4294967294" count="1" selected="0">
            <x v="3"/>
          </reference>
        </references>
      </pivotArea>
    </chartFormat>
    <chartFormat chart="14" format="40">
      <pivotArea type="data" outline="0" fieldPosition="0">
        <references count="2">
          <reference field="4294967294" count="1" selected="0">
            <x v="3"/>
          </reference>
          <reference field="6" count="1" selected="0">
            <x v="0"/>
          </reference>
        </references>
      </pivotArea>
    </chartFormat>
    <chartFormat chart="14" format="41">
      <pivotArea type="data" outline="0" fieldPosition="0">
        <references count="2">
          <reference field="4294967294" count="1" selected="0">
            <x v="3"/>
          </reference>
          <reference field="6" count="1" selected="0">
            <x v="2"/>
          </reference>
        </references>
      </pivotArea>
    </chartFormat>
    <chartFormat chart="14" format="42">
      <pivotArea type="data" outline="0" fieldPosition="0">
        <references count="2">
          <reference field="4294967294" count="1" selected="0">
            <x v="3"/>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7D3BBD-58DC-4417-8E78-F8712F08352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9">
    <pivotField showAll="0">
      <items count="2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showAll="0"/>
    <pivotField showAll="0"/>
    <pivotField showAll="0"/>
    <pivotField showAll="0"/>
    <pivotField dataField="1" showAll="0"/>
    <pivotField showAll="0">
      <items count="5">
        <item sd="0" x="2"/>
        <item sd="0" x="0"/>
        <item sd="0" x="3"/>
        <item sd="0" x="1"/>
        <item t="default"/>
      </items>
    </pivotField>
    <pivotField axis="axisRow" showAll="0" sortType="ascending">
      <items count="8">
        <item x="2"/>
        <item x="1"/>
        <item x="4"/>
        <item x="0"/>
        <item h="1" x="6"/>
        <item x="5"/>
        <item x="3"/>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7">
    <i>
      <x v="2"/>
    </i>
    <i>
      <x v="3"/>
    </i>
    <i>
      <x/>
    </i>
    <i>
      <x v="1"/>
    </i>
    <i>
      <x v="6"/>
    </i>
    <i>
      <x v="5"/>
    </i>
    <i t="grand">
      <x/>
    </i>
  </rowItems>
  <colItems count="1">
    <i/>
  </colItems>
  <dataFields count="1">
    <dataField name="Average of 2024" fld="5" subtotal="average" baseField="6" baseItem="0"/>
  </dataFields>
  <chartFormats count="2">
    <chartFormat chart="0"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DA2C4C-25C7-42E8-8689-4E644826F88A}" name="PivotTable5" cacheId="1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7" firstHeaderRow="1" firstDataRow="2" firstDataCol="1"/>
  <pivotFields count="9">
    <pivotField showAll="0"/>
    <pivotField showAll="0"/>
    <pivotField showAll="0"/>
    <pivotField dataField="1" showAll="0"/>
    <pivotField dataField="1" showAll="0"/>
    <pivotField dataField="1" showAll="0"/>
    <pivotField showAll="0">
      <items count="5">
        <item x="2"/>
        <item x="0"/>
        <item x="3"/>
        <item x="1"/>
        <item t="default"/>
      </items>
    </pivotField>
    <pivotField showAll="0"/>
    <pivotField axis="axisCol" showAll="0">
      <items count="4">
        <item x="0"/>
        <item x="1"/>
        <item x="2"/>
        <item t="default"/>
      </items>
    </pivotField>
  </pivotFields>
  <rowFields count="1">
    <field x="-2"/>
  </rowFields>
  <rowItems count="3">
    <i>
      <x/>
    </i>
    <i i="1">
      <x v="1"/>
    </i>
    <i i="2">
      <x v="2"/>
    </i>
  </rowItems>
  <colFields count="1">
    <field x="8"/>
  </colFields>
  <colItems count="4">
    <i>
      <x/>
    </i>
    <i>
      <x v="1"/>
    </i>
    <i>
      <x v="2"/>
    </i>
    <i t="grand">
      <x/>
    </i>
  </colItems>
  <dataFields count="3">
    <dataField name="Average of 2022" fld="3" subtotal="average" baseField="8" baseItem="0"/>
    <dataField name="Average of 2023" fld="4" subtotal="average" baseField="8" baseItem="0"/>
    <dataField name="Average of 2024" fld="5" subtotal="average" baseField="8"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6" format="0" series="1">
      <pivotArea type="data" outline="0" fieldPosition="0">
        <references count="2">
          <reference field="4294967294" count="1" selected="0">
            <x v="0"/>
          </reference>
          <reference field="8" count="1" selected="0">
            <x v="0"/>
          </reference>
        </references>
      </pivotArea>
    </chartFormat>
    <chartFormat chart="16" format="1" series="1">
      <pivotArea type="data" outline="0" fieldPosition="0">
        <references count="2">
          <reference field="4294967294" count="1" selected="0">
            <x v="0"/>
          </reference>
          <reference field="8" count="1" selected="0">
            <x v="1"/>
          </reference>
        </references>
      </pivotArea>
    </chartFormat>
    <chartFormat chart="16" format="2" series="1">
      <pivotArea type="data" outline="0" fieldPosition="0">
        <references count="2">
          <reference field="4294967294" count="1" selected="0">
            <x v="0"/>
          </reference>
          <reference field="8" count="1" selected="0">
            <x v="2"/>
          </reference>
        </references>
      </pivotArea>
    </chartFormat>
    <chartFormat chart="19" format="6" series="1">
      <pivotArea type="data" outline="0" fieldPosition="0">
        <references count="2">
          <reference field="4294967294" count="1" selected="0">
            <x v="0"/>
          </reference>
          <reference field="8" count="1" selected="0">
            <x v="0"/>
          </reference>
        </references>
      </pivotArea>
    </chartFormat>
    <chartFormat chart="19" format="7" series="1">
      <pivotArea type="data" outline="0" fieldPosition="0">
        <references count="2">
          <reference field="4294967294" count="1" selected="0">
            <x v="0"/>
          </reference>
          <reference field="8" count="1" selected="0">
            <x v="1"/>
          </reference>
        </references>
      </pivotArea>
    </chartFormat>
    <chartFormat chart="19"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4176B7-14E2-4645-8A7E-68D0BB84947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7E0717-65B3-4F26-B991-5645986C5242}" sourceName="Region">
  <pivotTables>
    <pivotTable tabId="10" name="PivotTable1"/>
    <pivotTable tabId="10" name="PivotTable2"/>
    <pivotTable tabId="10" name="PivotTable3"/>
  </pivotTables>
  <data>
    <tabular pivotCacheId="19818852">
      <items count="7">
        <i x="2" s="1"/>
        <i x="1" s="1"/>
        <i x="4" s="1"/>
        <i x="0" s="1"/>
        <i x="6"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1" xr10:uid="{F45C6824-432B-43BE-922F-14958972E873}" sourceName="Income Level">
  <pivotTables>
    <pivotTable tabId="10" name="PivotTable3"/>
  </pivotTables>
  <data>
    <tabular pivotCacheId="19818852">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644AA993-5391-49F5-9DD9-A12E9D8D73D5}" cache="Slicer_Region" caption="Region" style="SlicerStyleLight2" rowHeight="241300"/>
  <slicer name="Income Level" xr10:uid="{E6841C51-F02F-4191-A562-51C7EAA22EA4}" cache="Slicer_Income_Level1" caption="Income 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44DC28-C8E9-445C-A948-5EB80285C734}" cache="Slicer_Region" caption="Region"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5C6A72-9E4C-449D-BA5E-F0EAFDC3AB8B}" name="Table6" displayName="Table6" ref="A1:I216" totalsRowShown="0">
  <autoFilter ref="A1:I216" xr:uid="{C4A574B4-95EB-42BA-9975-72C1E4A1791B}"/>
  <sortState xmlns:xlrd2="http://schemas.microsoft.com/office/spreadsheetml/2017/richdata2" ref="A2:H216">
    <sortCondition ref="A1:A216"/>
  </sortState>
  <tableColumns count="9">
    <tableColumn id="1" xr3:uid="{87472D2D-47CE-465A-A2CA-8329E06A7BCF}" name="Country Name"/>
    <tableColumn id="2" xr3:uid="{36E298ED-085D-416A-ACD5-A1E668CBBEA0}" name="2020"/>
    <tableColumn id="3" xr3:uid="{D1950F7A-1386-4218-B218-08E5DD3B1DE7}" name="2021"/>
    <tableColumn id="4" xr3:uid="{304C86F8-4351-41E6-8B6D-FF43B873BB74}" name="2022"/>
    <tableColumn id="5" xr3:uid="{8AB680FC-7E02-43EA-9F87-9B743B80F350}" name="2023"/>
    <tableColumn id="6" xr3:uid="{E6630696-2392-45C5-AACC-9A74B6320C42}" name="2024"/>
    <tableColumn id="7" xr3:uid="{82F3595D-586F-48C3-AFB4-CC615E9DCFA6}" name="Income Level" dataDxfId="7">
      <calculatedColumnFormula>VLOOKUP('Combined Data'!A:A,Table13[#All],4, FALSE)</calculatedColumnFormula>
    </tableColumn>
    <tableColumn id="8" xr3:uid="{1DCCC6FA-A7CA-4B95-9724-A91A8D853F7F}" name="Region" dataDxfId="6">
      <calculatedColumnFormula>VLOOKUP('Combined Data'!A:A,Table13[],3, FALSE)</calculatedColumnFormula>
    </tableColumn>
    <tableColumn id="9" xr3:uid="{C7B9565B-860D-4DF6-B898-5F334564BA0F}" name="Hypothetical Metri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503BD1-0A2B-48DE-A42D-0D082C98D001}" name="Table13" displayName="Table13" ref="A1:D219" totalsRowShown="0" headerRowDxfId="27" dataDxfId="26" headerRowCellStyle="Normal 5">
  <autoFilter ref="A1:D219" xr:uid="{272AB2EB-C9D3-41DB-83AC-B618154C376D}"/>
  <tableColumns count="4">
    <tableColumn id="1" xr3:uid="{6BBF3C4A-3775-4002-BA5D-9A2F0E25532E}" name="Economy" dataDxfId="25"/>
    <tableColumn id="2" xr3:uid="{CED0D5C4-D049-480C-ADA5-86AA49EE466E}" name="Code" dataDxfId="24"/>
    <tableColumn id="3" xr3:uid="{5A282A74-990B-4C09-B88A-6FC627AA360D}" name="Region" dataDxfId="23"/>
    <tableColumn id="4" xr3:uid="{6D177090-BB18-4409-8F07-9C6602D506A6}" name="Income group" dataDxfId="2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755C-3E64-4BC6-AF31-2A0D2D5D27A6}">
  <sheetPr>
    <tabColor theme="9"/>
  </sheetPr>
  <dimension ref="A1"/>
  <sheetViews>
    <sheetView tabSelected="1" topLeftCell="D9" zoomScale="98" workbookViewId="0">
      <selection activeCell="R13" sqref="R13"/>
    </sheetView>
  </sheetViews>
  <sheetFormatPr defaultColWidth="9" defaultRowHeight="14.4" x14ac:dyDescent="0.3"/>
  <cols>
    <col min="1" max="16384" width="9" style="4"/>
  </cols>
  <sheetData/>
  <pageMargins left="0.7" right="0.7" top="0.75" bottom="0.75" header="0.3" footer="0.3"/>
  <headerFooter>
    <oddFooter>&amp;R_x000D_&amp;1#&amp;"Aptos"&amp;10&amp;K000000 Official Use Only</oddFooter>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FA51B-64B4-4703-A065-72BC8ED46B9D}">
  <sheetPr>
    <tabColor theme="7"/>
  </sheetPr>
  <dimension ref="A2:T28"/>
  <sheetViews>
    <sheetView zoomScale="90" zoomScaleNormal="70" workbookViewId="0">
      <selection activeCell="G3" sqref="G3"/>
    </sheetView>
  </sheetViews>
  <sheetFormatPr defaultColWidth="9" defaultRowHeight="14.4" x14ac:dyDescent="0.3"/>
  <cols>
    <col min="1" max="1" width="9" style="4"/>
    <col min="2" max="2" width="11" style="4" bestFit="1" customWidth="1"/>
    <col min="3" max="3" width="14.109375" style="4" bestFit="1" customWidth="1"/>
    <col min="4" max="5" width="10.88671875" style="4" bestFit="1" customWidth="1"/>
    <col min="6" max="6" width="18.44140625" style="4" bestFit="1" customWidth="1"/>
    <col min="7" max="7" width="13" style="4" bestFit="1" customWidth="1"/>
    <col min="8" max="8" width="18.5546875" style="4" bestFit="1" customWidth="1"/>
    <col min="9" max="10" width="9" style="4"/>
    <col min="11" max="11" width="14.109375" style="4" bestFit="1" customWidth="1"/>
    <col min="12" max="12" width="11.109375" style="4" bestFit="1" customWidth="1"/>
    <col min="13" max="13" width="10.88671875" style="4" bestFit="1" customWidth="1"/>
    <col min="14" max="14" width="19" style="4" bestFit="1" customWidth="1"/>
    <col min="15" max="15" width="13.109375" style="4" bestFit="1" customWidth="1"/>
    <col min="16" max="16" width="19" style="4" bestFit="1" customWidth="1"/>
    <col min="17" max="16384" width="9" style="4"/>
  </cols>
  <sheetData>
    <row r="2" spans="1:20" s="3" customFormat="1" x14ac:dyDescent="0.3">
      <c r="A2" s="2" t="s">
        <v>0</v>
      </c>
    </row>
    <row r="3" spans="1:20" x14ac:dyDescent="0.3">
      <c r="B3" s="18"/>
      <c r="C3" s="18"/>
      <c r="D3" s="18"/>
      <c r="E3" s="18"/>
      <c r="F3" s="18"/>
      <c r="I3" s="18"/>
      <c r="J3" s="18"/>
      <c r="K3" s="18"/>
      <c r="L3" s="18"/>
      <c r="M3" s="18"/>
      <c r="P3" s="18"/>
      <c r="Q3" s="18"/>
      <c r="R3" s="18"/>
      <c r="S3" s="18"/>
      <c r="T3" s="18"/>
    </row>
    <row r="28" spans="2:20" x14ac:dyDescent="0.3">
      <c r="B28" s="18"/>
      <c r="C28" s="18"/>
      <c r="D28" s="18"/>
      <c r="E28" s="18"/>
      <c r="F28" s="18"/>
      <c r="I28" s="18"/>
      <c r="J28" s="18"/>
      <c r="K28" s="18"/>
      <c r="L28" s="18"/>
      <c r="M28" s="18"/>
      <c r="P28" s="18"/>
      <c r="Q28" s="18"/>
      <c r="R28" s="18"/>
      <c r="S28" s="18"/>
      <c r="T28" s="18"/>
    </row>
  </sheetData>
  <mergeCells count="6">
    <mergeCell ref="B3:F3"/>
    <mergeCell ref="I3:M3"/>
    <mergeCell ref="P3:T3"/>
    <mergeCell ref="B28:F28"/>
    <mergeCell ref="I28:M28"/>
    <mergeCell ref="P28:T28"/>
  </mergeCells>
  <pageMargins left="0.7" right="0.7" top="0.75" bottom="0.75" header="0.3" footer="0.3"/>
  <headerFooter>
    <oddFooter>&amp;R_x000D_&amp;1#&amp;"Aptos"&amp;10&amp;K000000 Official Use Only</oddFooter>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C24F-F29B-409D-AAF3-BBF9C46F7B3A}">
  <sheetPr>
    <tabColor rgb="FFFFC000"/>
  </sheetPr>
  <dimension ref="A2:G3"/>
  <sheetViews>
    <sheetView topLeftCell="A2" zoomScale="70" zoomScaleNormal="70" workbookViewId="0">
      <selection activeCell="G32" sqref="G32"/>
    </sheetView>
  </sheetViews>
  <sheetFormatPr defaultColWidth="9" defaultRowHeight="14.4" x14ac:dyDescent="0.3"/>
  <cols>
    <col min="1" max="16384" width="9" style="4"/>
  </cols>
  <sheetData>
    <row r="2" spans="1:7" x14ac:dyDescent="0.3">
      <c r="A2" s="2" t="s">
        <v>1</v>
      </c>
    </row>
    <row r="3" spans="1:7" x14ac:dyDescent="0.3">
      <c r="A3" s="5"/>
      <c r="B3" s="5"/>
      <c r="C3" s="5"/>
      <c r="D3" s="5"/>
      <c r="E3" s="5"/>
      <c r="F3" s="5"/>
      <c r="G3" s="5"/>
    </row>
  </sheetData>
  <pageMargins left="0.7" right="0.7" top="0.75" bottom="0.75" header="0.3" footer="0.3"/>
  <headerFooter>
    <oddFooter>&amp;R_x000D_&amp;1#&amp;"Aptos"&amp;10&amp;K000000 Official Use Only</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84C78-8838-4E04-AB63-D6502E189E9C}">
  <sheetPr>
    <tabColor rgb="FFFFC000"/>
  </sheetPr>
  <dimension ref="A1:AF93"/>
  <sheetViews>
    <sheetView zoomScale="48" zoomScaleNormal="70" workbookViewId="0">
      <selection activeCell="A5" sqref="A5"/>
    </sheetView>
  </sheetViews>
  <sheetFormatPr defaultRowHeight="14.4" x14ac:dyDescent="0.3"/>
  <sheetData>
    <row r="1" spans="1:32" s="4" customFormat="1" x14ac:dyDescent="0.3"/>
    <row r="2" spans="1:32" s="4" customFormat="1" x14ac:dyDescent="0.3">
      <c r="A2" s="2" t="s">
        <v>2</v>
      </c>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7"/>
      <c r="C29" s="7"/>
      <c r="D29" s="7"/>
      <c r="E29" s="7"/>
      <c r="F29" s="7"/>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6"/>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6"/>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6"/>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6"/>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6"/>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6"/>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6"/>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spans="1:32"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spans="1:32"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spans="1:32"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spans="1:32"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spans="1:32"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spans="1:32"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spans="1:32"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spans="1:32"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spans="1:32"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spans="1:32"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spans="1:32"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spans="1:32"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spans="1:32"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spans="1:32"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spans="1:32"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spans="1:32"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spans="1:32"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spans="1:32"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spans="1:32"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spans="1:32"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spans="1:32"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spans="1:32"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spans="1:32" x14ac:dyDescent="0.3">
      <c r="A75" s="4"/>
      <c r="B75" s="4"/>
      <c r="C75" s="4"/>
      <c r="D75" s="4"/>
      <c r="E75" s="4"/>
      <c r="F75" s="4"/>
      <c r="G75" s="4"/>
      <c r="H75" s="4"/>
      <c r="I75" s="4"/>
      <c r="J75" s="4"/>
      <c r="K75" s="4"/>
      <c r="L75" s="4"/>
      <c r="M75" s="4"/>
      <c r="N75" s="4"/>
      <c r="O75" s="4"/>
      <c r="P75" s="4"/>
      <c r="Q75" s="4"/>
      <c r="R75" s="4"/>
      <c r="S75" s="4"/>
      <c r="T75" s="4"/>
      <c r="U75" s="4"/>
      <c r="V75" s="4"/>
    </row>
    <row r="76" spans="1:32" x14ac:dyDescent="0.3">
      <c r="A76" s="4"/>
      <c r="B76" s="4"/>
      <c r="C76" s="4"/>
      <c r="D76" s="4"/>
      <c r="E76" s="4"/>
      <c r="F76" s="4"/>
      <c r="G76" s="4"/>
      <c r="H76" s="4"/>
      <c r="I76" s="4"/>
      <c r="J76" s="4"/>
      <c r="K76" s="4"/>
      <c r="L76" s="4"/>
      <c r="M76" s="4"/>
      <c r="N76" s="4"/>
      <c r="O76" s="4"/>
      <c r="P76" s="4"/>
      <c r="Q76" s="4"/>
      <c r="R76" s="4"/>
      <c r="S76" s="4"/>
      <c r="T76" s="4"/>
      <c r="U76" s="4"/>
      <c r="V76" s="4"/>
    </row>
    <row r="77" spans="1:32" x14ac:dyDescent="0.3">
      <c r="A77" s="4"/>
      <c r="B77" s="4"/>
      <c r="C77" s="4"/>
      <c r="D77" s="4"/>
      <c r="E77" s="4"/>
      <c r="F77" s="4"/>
      <c r="G77" s="4"/>
      <c r="H77" s="4"/>
      <c r="I77" s="4"/>
      <c r="J77" s="4"/>
      <c r="K77" s="4"/>
      <c r="L77" s="4"/>
      <c r="M77" s="4"/>
      <c r="N77" s="4"/>
      <c r="O77" s="4"/>
      <c r="P77" s="4"/>
      <c r="Q77" s="4"/>
      <c r="R77" s="4"/>
      <c r="S77" s="4"/>
      <c r="T77" s="4"/>
      <c r="U77" s="4"/>
      <c r="V77" s="4"/>
    </row>
    <row r="78" spans="1:32" x14ac:dyDescent="0.3">
      <c r="A78" s="4"/>
      <c r="B78" s="4"/>
      <c r="C78" s="4"/>
      <c r="D78" s="4"/>
      <c r="E78" s="4"/>
      <c r="F78" s="4"/>
      <c r="G78" s="4"/>
      <c r="H78" s="4"/>
      <c r="I78" s="4"/>
      <c r="J78" s="4"/>
      <c r="K78" s="4"/>
      <c r="L78" s="4"/>
      <c r="M78" s="4"/>
      <c r="N78" s="4"/>
      <c r="O78" s="4"/>
      <c r="P78" s="4"/>
      <c r="Q78" s="4"/>
      <c r="R78" s="4"/>
      <c r="S78" s="4"/>
      <c r="T78" s="4"/>
      <c r="U78" s="4"/>
      <c r="V78" s="4"/>
    </row>
    <row r="79" spans="1:32" x14ac:dyDescent="0.3">
      <c r="A79" s="4"/>
      <c r="B79" s="4"/>
      <c r="C79" s="4"/>
      <c r="D79" s="4"/>
      <c r="E79" s="4"/>
      <c r="F79" s="4"/>
      <c r="G79" s="4"/>
      <c r="H79" s="4"/>
      <c r="I79" s="4"/>
      <c r="J79" s="4"/>
      <c r="K79" s="4"/>
      <c r="L79" s="4"/>
      <c r="M79" s="4"/>
      <c r="N79" s="4"/>
      <c r="O79" s="4"/>
      <c r="P79" s="4"/>
      <c r="Q79" s="4"/>
      <c r="R79" s="4"/>
      <c r="S79" s="4"/>
      <c r="T79" s="4"/>
      <c r="U79" s="4"/>
      <c r="V79" s="4"/>
    </row>
    <row r="80" spans="1:32" x14ac:dyDescent="0.3">
      <c r="A80" s="4"/>
      <c r="B80" s="4"/>
      <c r="C80" s="4"/>
      <c r="D80" s="4"/>
      <c r="E80" s="4"/>
      <c r="F80" s="4"/>
      <c r="G80" s="4"/>
      <c r="H80" s="4"/>
      <c r="I80" s="4"/>
      <c r="J80" s="4"/>
      <c r="K80" s="4"/>
      <c r="L80" s="4"/>
      <c r="M80" s="4"/>
      <c r="N80" s="4"/>
      <c r="O80" s="4"/>
      <c r="P80" s="4"/>
      <c r="Q80" s="4"/>
      <c r="R80" s="4"/>
      <c r="S80" s="4"/>
      <c r="T80" s="4"/>
      <c r="U80" s="4"/>
      <c r="V80" s="4"/>
    </row>
    <row r="81" spans="1:22" x14ac:dyDescent="0.3">
      <c r="A81" s="4"/>
      <c r="B81" s="4"/>
      <c r="C81" s="4"/>
      <c r="D81" s="4"/>
      <c r="E81" s="4"/>
      <c r="F81" s="4"/>
      <c r="G81" s="4"/>
      <c r="H81" s="4"/>
      <c r="I81" s="4"/>
      <c r="J81" s="4"/>
      <c r="K81" s="4"/>
      <c r="L81" s="4"/>
      <c r="M81" s="4"/>
      <c r="N81" s="4"/>
      <c r="O81" s="4"/>
      <c r="P81" s="4"/>
      <c r="Q81" s="4"/>
      <c r="R81" s="4"/>
      <c r="S81" s="4"/>
      <c r="T81" s="4"/>
      <c r="U81" s="4"/>
      <c r="V81" s="4"/>
    </row>
    <row r="82" spans="1:22" x14ac:dyDescent="0.3">
      <c r="A82" s="4"/>
      <c r="B82" s="4"/>
      <c r="C82" s="4"/>
      <c r="D82" s="4"/>
      <c r="E82" s="4"/>
      <c r="F82" s="4"/>
      <c r="G82" s="4"/>
      <c r="H82" s="4"/>
      <c r="I82" s="4"/>
      <c r="J82" s="4"/>
      <c r="K82" s="4"/>
      <c r="L82" s="4"/>
      <c r="M82" s="4"/>
      <c r="N82" s="4"/>
      <c r="O82" s="4"/>
      <c r="P82" s="4"/>
      <c r="Q82" s="4"/>
      <c r="R82" s="4"/>
      <c r="S82" s="4"/>
      <c r="T82" s="4"/>
      <c r="U82" s="4"/>
      <c r="V82" s="4"/>
    </row>
    <row r="83" spans="1:22" x14ac:dyDescent="0.3">
      <c r="A83" s="4"/>
      <c r="B83" s="4"/>
      <c r="C83" s="4"/>
      <c r="D83" s="4"/>
      <c r="E83" s="4"/>
      <c r="F83" s="4"/>
      <c r="G83" s="4"/>
      <c r="H83" s="4"/>
      <c r="I83" s="4"/>
      <c r="J83" s="4"/>
      <c r="K83" s="4"/>
      <c r="L83" s="4"/>
      <c r="M83" s="4"/>
      <c r="N83" s="4"/>
      <c r="O83" s="4"/>
      <c r="P83" s="4"/>
      <c r="Q83" s="4"/>
      <c r="R83" s="4"/>
      <c r="S83" s="4"/>
      <c r="T83" s="4"/>
      <c r="U83" s="4"/>
      <c r="V83" s="4"/>
    </row>
    <row r="84" spans="1:22" x14ac:dyDescent="0.3">
      <c r="A84" s="4"/>
      <c r="B84" s="4"/>
      <c r="C84" s="4"/>
      <c r="D84" s="4"/>
      <c r="E84" s="4"/>
      <c r="F84" s="4"/>
      <c r="G84" s="4"/>
      <c r="H84" s="4"/>
      <c r="I84" s="4"/>
      <c r="J84" s="4"/>
      <c r="K84" s="4"/>
      <c r="L84" s="4"/>
      <c r="M84" s="4"/>
      <c r="N84" s="4"/>
      <c r="O84" s="4"/>
      <c r="P84" s="4"/>
      <c r="Q84" s="4"/>
      <c r="R84" s="4"/>
      <c r="S84" s="4"/>
      <c r="T84" s="4"/>
      <c r="U84" s="4"/>
      <c r="V84" s="4"/>
    </row>
    <row r="85" spans="1:22" x14ac:dyDescent="0.3">
      <c r="A85" s="4"/>
      <c r="B85" s="4"/>
      <c r="C85" s="4"/>
      <c r="D85" s="4"/>
      <c r="E85" s="4"/>
      <c r="F85" s="4"/>
      <c r="G85" s="4"/>
      <c r="H85" s="4"/>
      <c r="I85" s="4"/>
      <c r="J85" s="4"/>
      <c r="K85" s="4"/>
      <c r="L85" s="4"/>
      <c r="M85" s="4"/>
      <c r="N85" s="4"/>
      <c r="O85" s="4"/>
      <c r="P85" s="4"/>
      <c r="Q85" s="4"/>
      <c r="R85" s="4"/>
      <c r="S85" s="4"/>
      <c r="T85" s="4"/>
      <c r="U85" s="4"/>
      <c r="V85" s="4"/>
    </row>
    <row r="86" spans="1:22" x14ac:dyDescent="0.3">
      <c r="A86" s="4"/>
      <c r="B86" s="4"/>
      <c r="C86" s="4"/>
      <c r="D86" s="4"/>
      <c r="E86" s="4"/>
      <c r="F86" s="4"/>
      <c r="G86" s="4"/>
      <c r="H86" s="4"/>
      <c r="I86" s="4"/>
      <c r="J86" s="4"/>
      <c r="K86" s="4"/>
      <c r="L86" s="4"/>
      <c r="M86" s="4"/>
      <c r="N86" s="4"/>
      <c r="O86" s="4"/>
      <c r="P86" s="4"/>
      <c r="Q86" s="4"/>
      <c r="R86" s="4"/>
      <c r="S86" s="4"/>
      <c r="T86" s="4"/>
      <c r="U86" s="4"/>
      <c r="V86" s="4"/>
    </row>
    <row r="87" spans="1:22" x14ac:dyDescent="0.3">
      <c r="A87" s="4"/>
      <c r="B87" s="4"/>
      <c r="C87" s="4"/>
      <c r="D87" s="4"/>
      <c r="E87" s="4"/>
      <c r="F87" s="4"/>
      <c r="G87" s="4"/>
      <c r="H87" s="4"/>
      <c r="I87" s="4"/>
      <c r="J87" s="4"/>
      <c r="K87" s="4"/>
      <c r="L87" s="4"/>
      <c r="M87" s="4"/>
      <c r="N87" s="4"/>
      <c r="O87" s="4"/>
      <c r="P87" s="4"/>
      <c r="Q87" s="4"/>
      <c r="R87" s="4"/>
      <c r="S87" s="4"/>
      <c r="T87" s="4"/>
      <c r="U87" s="4"/>
      <c r="V87" s="4"/>
    </row>
    <row r="88" spans="1:22" x14ac:dyDescent="0.3">
      <c r="A88" s="4"/>
      <c r="B88" s="4"/>
      <c r="C88" s="4"/>
      <c r="D88" s="4"/>
      <c r="E88" s="4"/>
      <c r="F88" s="4"/>
      <c r="G88" s="4"/>
      <c r="H88" s="4"/>
      <c r="I88" s="4"/>
      <c r="J88" s="4"/>
      <c r="K88" s="4"/>
      <c r="L88" s="4"/>
      <c r="M88" s="4"/>
      <c r="N88" s="4"/>
      <c r="O88" s="4"/>
      <c r="P88" s="4"/>
      <c r="Q88" s="4"/>
      <c r="R88" s="4"/>
      <c r="S88" s="4"/>
      <c r="T88" s="4"/>
      <c r="U88" s="4"/>
      <c r="V88" s="4"/>
    </row>
    <row r="89" spans="1:22" x14ac:dyDescent="0.3">
      <c r="A89" s="4"/>
      <c r="B89" s="4"/>
      <c r="C89" s="4"/>
      <c r="D89" s="4"/>
      <c r="E89" s="4"/>
      <c r="F89" s="4"/>
      <c r="G89" s="4"/>
      <c r="H89" s="4"/>
      <c r="I89" s="4"/>
      <c r="J89" s="4"/>
      <c r="K89" s="4"/>
      <c r="L89" s="4"/>
      <c r="M89" s="4"/>
      <c r="N89" s="4"/>
      <c r="O89" s="4"/>
      <c r="P89" s="4"/>
      <c r="Q89" s="4"/>
      <c r="R89" s="4"/>
      <c r="S89" s="4"/>
      <c r="T89" s="4"/>
      <c r="U89" s="4"/>
      <c r="V89" s="4"/>
    </row>
    <row r="90" spans="1:22" x14ac:dyDescent="0.3">
      <c r="A90" s="4"/>
      <c r="B90" s="4"/>
      <c r="C90" s="4"/>
      <c r="D90" s="4"/>
      <c r="E90" s="4"/>
      <c r="F90" s="4"/>
      <c r="G90" s="4"/>
      <c r="H90" s="4"/>
      <c r="I90" s="4"/>
      <c r="J90" s="4"/>
      <c r="K90" s="4"/>
      <c r="L90" s="4"/>
      <c r="M90" s="4"/>
      <c r="N90" s="4"/>
      <c r="O90" s="4"/>
      <c r="P90" s="4"/>
      <c r="Q90" s="4"/>
      <c r="R90" s="4"/>
      <c r="S90" s="4"/>
      <c r="T90" s="4"/>
      <c r="U90" s="4"/>
      <c r="V90" s="4"/>
    </row>
    <row r="91" spans="1:22" x14ac:dyDescent="0.3">
      <c r="A91" s="4"/>
      <c r="B91" s="4"/>
      <c r="C91" s="4"/>
      <c r="D91" s="4"/>
      <c r="E91" s="4"/>
      <c r="F91" s="4"/>
      <c r="G91" s="4"/>
      <c r="H91" s="4"/>
      <c r="I91" s="4"/>
      <c r="J91" s="4"/>
      <c r="K91" s="4"/>
      <c r="L91" s="4"/>
      <c r="M91" s="4"/>
      <c r="N91" s="4"/>
      <c r="O91" s="4"/>
      <c r="P91" s="4"/>
      <c r="Q91" s="4"/>
      <c r="R91" s="4"/>
      <c r="S91" s="4"/>
      <c r="T91" s="4"/>
      <c r="U91" s="4"/>
      <c r="V91" s="4"/>
    </row>
    <row r="92" spans="1:22" x14ac:dyDescent="0.3">
      <c r="A92" s="4"/>
      <c r="B92" s="4"/>
      <c r="C92" s="4"/>
      <c r="D92" s="4"/>
      <c r="E92" s="4"/>
      <c r="F92" s="4"/>
      <c r="G92" s="4"/>
      <c r="H92" s="4"/>
      <c r="I92" s="4"/>
      <c r="J92" s="4"/>
      <c r="K92" s="4"/>
      <c r="L92" s="4"/>
      <c r="M92" s="4"/>
      <c r="N92" s="4"/>
      <c r="O92" s="4"/>
      <c r="P92" s="4"/>
      <c r="Q92" s="4"/>
      <c r="R92" s="4"/>
      <c r="S92" s="4"/>
      <c r="T92" s="4"/>
      <c r="U92" s="4"/>
      <c r="V92" s="4"/>
    </row>
    <row r="93" spans="1:22" x14ac:dyDescent="0.3">
      <c r="A93" s="4"/>
      <c r="B93" s="4"/>
      <c r="C93" s="4"/>
      <c r="D93" s="4"/>
      <c r="E93" s="4"/>
      <c r="F93" s="4"/>
      <c r="G93" s="4"/>
      <c r="H93" s="4"/>
      <c r="I93" s="4"/>
      <c r="J93" s="4"/>
      <c r="K93" s="4"/>
      <c r="L93" s="4"/>
      <c r="M93" s="4"/>
      <c r="N93" s="4"/>
      <c r="O93" s="4"/>
      <c r="P93" s="4"/>
      <c r="Q93" s="4"/>
      <c r="R93" s="4"/>
      <c r="S93" s="4"/>
      <c r="T93" s="4"/>
      <c r="U93" s="4"/>
      <c r="V93" s="4"/>
    </row>
  </sheetData>
  <pageMargins left="0.7" right="0.7" top="0.75" bottom="0.75" header="0.3" footer="0.3"/>
  <headerFooter>
    <oddFooter>&amp;R_x000D_&amp;1#&amp;"Aptos"&amp;10&amp;K000000 Official Use Only</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1BF2-3FCE-4EEC-9615-742EE7CC1C2B}">
  <sheetPr>
    <tabColor rgb="FFC00000"/>
  </sheetPr>
  <dimension ref="A1"/>
  <sheetViews>
    <sheetView workbookViewId="0">
      <selection activeCell="G32" sqref="G32"/>
    </sheetView>
  </sheetViews>
  <sheetFormatPr defaultRowHeight="14.4" x14ac:dyDescent="0.3"/>
  <sheetData/>
  <pageMargins left="0.7" right="0.7" top="0.75" bottom="0.75" header="0.3" footer="0.3"/>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1DE59-D7A3-4E70-B47B-F25451A2994E}">
  <dimension ref="A2:H59"/>
  <sheetViews>
    <sheetView topLeftCell="A3" zoomScale="59" workbookViewId="0">
      <selection activeCell="Q19" sqref="Q19"/>
    </sheetView>
  </sheetViews>
  <sheetFormatPr defaultColWidth="9" defaultRowHeight="14.4" x14ac:dyDescent="0.3"/>
  <cols>
    <col min="1" max="1" width="15.5546875" style="13" bestFit="1" customWidth="1"/>
    <col min="2" max="2" width="17.33203125" style="13" bestFit="1" customWidth="1"/>
    <col min="3" max="4" width="6" style="13" bestFit="1" customWidth="1"/>
    <col min="5" max="9" width="11.6640625" style="13" bestFit="1" customWidth="1"/>
    <col min="10" max="11" width="10.6640625" style="13" bestFit="1" customWidth="1"/>
    <col min="12" max="18" width="11.6640625" style="13" bestFit="1" customWidth="1"/>
    <col min="19" max="19" width="10.6640625" style="13" bestFit="1" customWidth="1"/>
    <col min="20" max="21" width="11.6640625" style="13" bestFit="1" customWidth="1"/>
    <col min="22" max="22" width="10.6640625" style="13" bestFit="1" customWidth="1"/>
    <col min="23" max="26" width="11.6640625" style="13" bestFit="1" customWidth="1"/>
    <col min="27" max="28" width="10.6640625" style="13" bestFit="1" customWidth="1"/>
    <col min="29" max="35" width="11.6640625" style="13" bestFit="1" customWidth="1"/>
    <col min="36" max="36" width="10.6640625" style="13" bestFit="1" customWidth="1"/>
    <col min="37" max="37" width="11.6640625" style="13" bestFit="1" customWidth="1"/>
    <col min="38" max="38" width="10.6640625" style="13" bestFit="1" customWidth="1"/>
    <col min="39" max="40" width="11.6640625" style="13" bestFit="1" customWidth="1"/>
    <col min="41" max="41" width="9.6640625" style="13" bestFit="1" customWidth="1"/>
    <col min="42" max="43" width="10.6640625" style="13" bestFit="1" customWidth="1"/>
    <col min="44" max="44" width="11.6640625" style="13" bestFit="1" customWidth="1"/>
    <col min="45" max="45" width="10.6640625" style="13" bestFit="1" customWidth="1"/>
    <col min="46" max="65" width="11.6640625" style="13" bestFit="1" customWidth="1"/>
    <col min="66" max="66" width="10.6640625" style="13" bestFit="1" customWidth="1"/>
    <col min="67" max="78" width="11.6640625" style="13" bestFit="1" customWidth="1"/>
    <col min="79" max="79" width="10.6640625" style="13" bestFit="1" customWidth="1"/>
    <col min="80" max="94" width="11.6640625" style="13" bestFit="1" customWidth="1"/>
    <col min="95" max="95" width="6.44140625" style="13" bestFit="1" customWidth="1"/>
    <col min="96" max="96" width="10.109375" style="13" bestFit="1" customWidth="1"/>
    <col min="97" max="16384" width="9" style="13"/>
  </cols>
  <sheetData>
    <row r="2" spans="1:8" x14ac:dyDescent="0.3">
      <c r="A2" s="14"/>
      <c r="B2" s="14"/>
      <c r="C2" s="14"/>
      <c r="D2" s="14" t="s">
        <v>3</v>
      </c>
      <c r="E2" s="14"/>
      <c r="F2" s="14"/>
      <c r="G2" s="14"/>
      <c r="H2" s="14"/>
    </row>
    <row r="3" spans="1:8" x14ac:dyDescent="0.3">
      <c r="A3" s="15" t="s">
        <v>4</v>
      </c>
      <c r="B3" s="15" t="s">
        <v>5</v>
      </c>
      <c r="C3" s="15" t="s">
        <v>6</v>
      </c>
      <c r="D3" s="15" t="s">
        <v>7</v>
      </c>
      <c r="E3" s="15" t="s">
        <v>8</v>
      </c>
    </row>
    <row r="4" spans="1:8" x14ac:dyDescent="0.3">
      <c r="A4" s="16" t="s">
        <v>9</v>
      </c>
      <c r="B4" s="17">
        <v>99.233337740884451</v>
      </c>
      <c r="C4" s="17">
        <v>100.97785962274577</v>
      </c>
      <c r="D4" s="17">
        <v>100.18913591358793</v>
      </c>
      <c r="E4" s="17">
        <v>100.34288571877116</v>
      </c>
    </row>
    <row r="5" spans="1:8" x14ac:dyDescent="0.3">
      <c r="A5" s="16" t="s">
        <v>10</v>
      </c>
      <c r="B5" s="17">
        <v>110.01348841211565</v>
      </c>
      <c r="C5" s="17">
        <v>101.40254667126887</v>
      </c>
      <c r="D5" s="17">
        <v>105.68035697061055</v>
      </c>
      <c r="E5" s="17">
        <v>107.04119377068672</v>
      </c>
    </row>
    <row r="6" spans="1:8" x14ac:dyDescent="0.3">
      <c r="A6" s="16" t="s">
        <v>11</v>
      </c>
      <c r="B6" s="17">
        <v>99.021003010340081</v>
      </c>
      <c r="C6" s="17">
        <v>98.791340662023444</v>
      </c>
      <c r="D6" s="17">
        <v>99.451074784177877</v>
      </c>
      <c r="E6" s="17">
        <v>98.449858041666488</v>
      </c>
    </row>
    <row r="7" spans="1:8" x14ac:dyDescent="0.3">
      <c r="A7" s="16" t="s">
        <v>12</v>
      </c>
      <c r="B7" s="17">
        <v>100.35202207023126</v>
      </c>
      <c r="C7" s="17">
        <v>99.952683656490578</v>
      </c>
      <c r="D7" s="17">
        <v>100.99848636088637</v>
      </c>
      <c r="E7" s="17">
        <v>100.97320645060623</v>
      </c>
    </row>
    <row r="8" spans="1:8" x14ac:dyDescent="0.3">
      <c r="A8" s="16" t="s">
        <v>13</v>
      </c>
      <c r="B8" s="17">
        <v>100.92415828805761</v>
      </c>
      <c r="C8" s="17">
        <v>100.18622414881519</v>
      </c>
      <c r="D8" s="17">
        <v>100.71362157546287</v>
      </c>
      <c r="E8" s="17">
        <v>100.54284066778069</v>
      </c>
    </row>
    <row r="11" spans="1:8" x14ac:dyDescent="0.3">
      <c r="D11" s="14" t="s">
        <v>14</v>
      </c>
    </row>
    <row r="13" spans="1:8" x14ac:dyDescent="0.3">
      <c r="A13" s="15" t="s">
        <v>15</v>
      </c>
      <c r="B13" s="15" t="s">
        <v>16</v>
      </c>
      <c r="C13" s="14"/>
      <c r="E13" s="14"/>
    </row>
    <row r="14" spans="1:8" x14ac:dyDescent="0.3">
      <c r="A14" s="15"/>
      <c r="B14" s="15"/>
    </row>
    <row r="15" spans="1:8" x14ac:dyDescent="0.3">
      <c r="A15" s="15" t="s">
        <v>4</v>
      </c>
      <c r="B15" s="15" t="s">
        <v>5</v>
      </c>
    </row>
    <row r="16" spans="1:8" x14ac:dyDescent="0.3">
      <c r="A16" s="16" t="s">
        <v>17</v>
      </c>
      <c r="B16" s="17">
        <v>98.762839487315318</v>
      </c>
    </row>
    <row r="17" spans="1:5" x14ac:dyDescent="0.3">
      <c r="A17" s="16" t="s">
        <v>18</v>
      </c>
      <c r="B17" s="17">
        <v>100.87348938658374</v>
      </c>
    </row>
    <row r="18" spans="1:5" x14ac:dyDescent="0.3">
      <c r="A18" s="16" t="s">
        <v>19</v>
      </c>
      <c r="B18" s="17">
        <v>97.211229311052335</v>
      </c>
    </row>
    <row r="19" spans="1:5" x14ac:dyDescent="0.3">
      <c r="A19" s="16" t="s">
        <v>20</v>
      </c>
      <c r="B19" s="17">
        <v>97.40273398750827</v>
      </c>
    </row>
    <row r="20" spans="1:5" x14ac:dyDescent="0.3">
      <c r="A20" s="16" t="s">
        <v>21</v>
      </c>
      <c r="B20" s="17"/>
    </row>
    <row r="21" spans="1:5" x14ac:dyDescent="0.3">
      <c r="A21" s="16" t="s">
        <v>22</v>
      </c>
      <c r="B21" s="17">
        <v>113.24584789248497</v>
      </c>
    </row>
    <row r="22" spans="1:5" x14ac:dyDescent="0.3">
      <c r="A22" s="16" t="s">
        <v>23</v>
      </c>
      <c r="B22" s="17">
        <v>104.69098062756294</v>
      </c>
    </row>
    <row r="23" spans="1:5" x14ac:dyDescent="0.3">
      <c r="A23" s="16" t="s">
        <v>13</v>
      </c>
      <c r="B23" s="17">
        <v>100.92415828805761</v>
      </c>
    </row>
    <row r="25" spans="1:5" x14ac:dyDescent="0.3">
      <c r="D25" s="14" t="s">
        <v>24</v>
      </c>
    </row>
    <row r="30" spans="1:5" x14ac:dyDescent="0.3">
      <c r="A30" s="15"/>
      <c r="B30" s="15"/>
      <c r="C30" s="15"/>
    </row>
    <row r="31" spans="1:5" x14ac:dyDescent="0.3">
      <c r="A31" s="15"/>
      <c r="B31" s="15" t="s">
        <v>25</v>
      </c>
      <c r="C31" s="15"/>
      <c r="D31" s="15"/>
      <c r="E31" s="15"/>
    </row>
    <row r="32" spans="1:5" x14ac:dyDescent="0.3">
      <c r="A32" s="15" t="s">
        <v>26</v>
      </c>
      <c r="B32" s="15" t="s">
        <v>27</v>
      </c>
      <c r="C32" s="15" t="s">
        <v>28</v>
      </c>
      <c r="D32" s="15" t="s">
        <v>29</v>
      </c>
      <c r="E32" s="15" t="s">
        <v>13</v>
      </c>
    </row>
    <row r="33" spans="1:5" x14ac:dyDescent="0.3">
      <c r="A33" s="16" t="s">
        <v>5</v>
      </c>
      <c r="B33" s="17">
        <v>100.12322479415225</v>
      </c>
      <c r="C33" s="17">
        <v>103.45847891071236</v>
      </c>
      <c r="D33" s="17">
        <v>99.270864508698807</v>
      </c>
      <c r="E33" s="17">
        <v>100.92415828805761</v>
      </c>
    </row>
    <row r="34" spans="1:5" x14ac:dyDescent="0.3">
      <c r="A34" s="16" t="s">
        <v>6</v>
      </c>
      <c r="B34" s="17">
        <v>100.86288008475887</v>
      </c>
      <c r="C34" s="17">
        <v>99.274302534114753</v>
      </c>
      <c r="D34" s="17">
        <v>100.48143615023771</v>
      </c>
      <c r="E34" s="17">
        <v>100.1862241488152</v>
      </c>
    </row>
    <row r="35" spans="1:5" x14ac:dyDescent="0.3">
      <c r="A35" s="16" t="s">
        <v>7</v>
      </c>
      <c r="B35" s="17">
        <v>100.73982681469549</v>
      </c>
      <c r="C35" s="17">
        <v>100.92852339254382</v>
      </c>
      <c r="D35" s="17">
        <v>100.45728439103871</v>
      </c>
      <c r="E35" s="17">
        <v>100.71362157546284</v>
      </c>
    </row>
    <row r="46" spans="1:5" x14ac:dyDescent="0.3">
      <c r="A46"/>
    </row>
    <row r="47" spans="1:5" x14ac:dyDescent="0.3">
      <c r="A47"/>
    </row>
    <row r="48" spans="1:5"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20BA-3B39-4FE0-B052-4D6A6416CCE3}">
  <dimension ref="A3:E8"/>
  <sheetViews>
    <sheetView workbookViewId="0">
      <selection activeCell="C15" sqref="C15"/>
    </sheetView>
  </sheetViews>
  <sheetFormatPr defaultRowHeight="14.4" x14ac:dyDescent="0.3"/>
  <cols>
    <col min="1" max="1" width="18.6640625" bestFit="1" customWidth="1"/>
    <col min="2" max="5" width="14.6640625" bestFit="1" customWidth="1"/>
    <col min="6" max="6" width="12" bestFit="1" customWidth="1"/>
  </cols>
  <sheetData>
    <row r="3" spans="1:5" x14ac:dyDescent="0.3">
      <c r="A3" s="29" t="s">
        <v>4</v>
      </c>
      <c r="B3" t="s">
        <v>8</v>
      </c>
      <c r="C3" t="s">
        <v>7</v>
      </c>
      <c r="D3" t="s">
        <v>6</v>
      </c>
      <c r="E3" t="s">
        <v>5</v>
      </c>
    </row>
    <row r="4" spans="1:5" x14ac:dyDescent="0.3">
      <c r="A4" s="30" t="s">
        <v>9</v>
      </c>
      <c r="B4" s="28">
        <v>100.34288571877116</v>
      </c>
      <c r="C4" s="28">
        <v>100.18913591358793</v>
      </c>
      <c r="D4" s="28">
        <v>100.97785962274577</v>
      </c>
      <c r="E4" s="28">
        <v>99.233337740884451</v>
      </c>
    </row>
    <row r="5" spans="1:5" x14ac:dyDescent="0.3">
      <c r="A5" s="30" t="s">
        <v>10</v>
      </c>
      <c r="B5" s="28">
        <v>107.04119377068672</v>
      </c>
      <c r="C5" s="28">
        <v>105.68035697061055</v>
      </c>
      <c r="D5" s="28">
        <v>101.40254667126887</v>
      </c>
      <c r="E5" s="28">
        <v>110.01348841211565</v>
      </c>
    </row>
    <row r="6" spans="1:5" x14ac:dyDescent="0.3">
      <c r="A6" s="30" t="s">
        <v>11</v>
      </c>
      <c r="B6" s="28">
        <v>98.449858041666488</v>
      </c>
      <c r="C6" s="28">
        <v>99.451074784177877</v>
      </c>
      <c r="D6" s="28">
        <v>98.791340662023444</v>
      </c>
      <c r="E6" s="28">
        <v>99.021003010340081</v>
      </c>
    </row>
    <row r="7" spans="1:5" x14ac:dyDescent="0.3">
      <c r="A7" s="30" t="s">
        <v>12</v>
      </c>
      <c r="B7" s="28">
        <v>100.97320645060623</v>
      </c>
      <c r="C7" s="28">
        <v>100.99848636088637</v>
      </c>
      <c r="D7" s="28">
        <v>99.952683656490578</v>
      </c>
      <c r="E7" s="28">
        <v>100.35202207023126</v>
      </c>
    </row>
    <row r="8" spans="1:5" x14ac:dyDescent="0.3">
      <c r="A8" s="30" t="s">
        <v>13</v>
      </c>
      <c r="B8" s="28">
        <v>100.54284066778069</v>
      </c>
      <c r="C8" s="28">
        <v>100.71362157546287</v>
      </c>
      <c r="D8" s="28">
        <v>100.18622414881519</v>
      </c>
      <c r="E8" s="28">
        <v>100.92415828805761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2D10-460F-4007-970C-CCEFA680CEC1}">
  <dimension ref="A3:B10"/>
  <sheetViews>
    <sheetView workbookViewId="0">
      <selection activeCell="J16" sqref="J16"/>
    </sheetView>
  </sheetViews>
  <sheetFormatPr defaultRowHeight="14.4" x14ac:dyDescent="0.3"/>
  <cols>
    <col min="1" max="1" width="41.5546875" bestFit="1" customWidth="1"/>
    <col min="2" max="2" width="14.6640625" bestFit="1" customWidth="1"/>
    <col min="3" max="3" width="13.109375" bestFit="1" customWidth="1"/>
    <col min="4" max="4" width="21.21875" bestFit="1" customWidth="1"/>
    <col min="5" max="5" width="21.33203125" bestFit="1" customWidth="1"/>
    <col min="6" max="6" width="12" bestFit="1" customWidth="1"/>
  </cols>
  <sheetData>
    <row r="3" spans="1:2" x14ac:dyDescent="0.3">
      <c r="A3" s="29" t="s">
        <v>4</v>
      </c>
      <c r="B3" t="s">
        <v>5</v>
      </c>
    </row>
    <row r="4" spans="1:2" x14ac:dyDescent="0.3">
      <c r="A4" s="30" t="s">
        <v>19</v>
      </c>
      <c r="B4" s="28">
        <v>97.211229311052335</v>
      </c>
    </row>
    <row r="5" spans="1:2" x14ac:dyDescent="0.3">
      <c r="A5" s="30" t="s">
        <v>20</v>
      </c>
      <c r="B5" s="28">
        <v>97.40273398750827</v>
      </c>
    </row>
    <row r="6" spans="1:2" x14ac:dyDescent="0.3">
      <c r="A6" s="30" t="s">
        <v>17</v>
      </c>
      <c r="B6" s="28">
        <v>98.762839487315318</v>
      </c>
    </row>
    <row r="7" spans="1:2" x14ac:dyDescent="0.3">
      <c r="A7" s="30" t="s">
        <v>18</v>
      </c>
      <c r="B7" s="28">
        <v>100.87348938658374</v>
      </c>
    </row>
    <row r="8" spans="1:2" x14ac:dyDescent="0.3">
      <c r="A8" s="30" t="s">
        <v>23</v>
      </c>
      <c r="B8" s="28">
        <v>104.69098062756292</v>
      </c>
    </row>
    <row r="9" spans="1:2" x14ac:dyDescent="0.3">
      <c r="A9" s="30" t="s">
        <v>22</v>
      </c>
      <c r="B9" s="28">
        <v>113.24584789248497</v>
      </c>
    </row>
    <row r="10" spans="1:2" x14ac:dyDescent="0.3">
      <c r="A10" s="30" t="s">
        <v>13</v>
      </c>
      <c r="B10" s="28">
        <v>100.92415828805763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6687-B2DE-4B8A-A699-B2C8AE188666}">
  <dimension ref="A3:E7"/>
  <sheetViews>
    <sheetView workbookViewId="0">
      <selection activeCell="I25" sqref="I25"/>
    </sheetView>
  </sheetViews>
  <sheetFormatPr defaultRowHeight="14.4" x14ac:dyDescent="0.3"/>
  <cols>
    <col min="1" max="1" width="14.33203125" bestFit="1" customWidth="1"/>
    <col min="2" max="2" width="15.5546875" bestFit="1" customWidth="1"/>
    <col min="3" max="5" width="12" bestFit="1" customWidth="1"/>
  </cols>
  <sheetData>
    <row r="3" spans="1:5" x14ac:dyDescent="0.3">
      <c r="B3" s="29" t="s">
        <v>25</v>
      </c>
    </row>
    <row r="4" spans="1:5" x14ac:dyDescent="0.3">
      <c r="A4" s="29" t="s">
        <v>26</v>
      </c>
      <c r="B4" t="s">
        <v>27</v>
      </c>
      <c r="C4" t="s">
        <v>28</v>
      </c>
      <c r="D4" t="s">
        <v>29</v>
      </c>
      <c r="E4" t="s">
        <v>13</v>
      </c>
    </row>
    <row r="5" spans="1:5" x14ac:dyDescent="0.3">
      <c r="A5" s="30" t="s">
        <v>7</v>
      </c>
      <c r="B5" s="28">
        <v>100.73982681469549</v>
      </c>
      <c r="C5" s="28">
        <v>100.92852339254382</v>
      </c>
      <c r="D5" s="28">
        <v>100.45728439103871</v>
      </c>
      <c r="E5" s="28">
        <v>100.71362157546284</v>
      </c>
    </row>
    <row r="6" spans="1:5" x14ac:dyDescent="0.3">
      <c r="A6" s="30" t="s">
        <v>6</v>
      </c>
      <c r="B6" s="28">
        <v>100.86288008475887</v>
      </c>
      <c r="C6" s="28">
        <v>99.274302534114753</v>
      </c>
      <c r="D6" s="28">
        <v>100.48143615023771</v>
      </c>
      <c r="E6" s="28">
        <v>100.1862241488152</v>
      </c>
    </row>
    <row r="7" spans="1:5" x14ac:dyDescent="0.3">
      <c r="A7" s="30" t="s">
        <v>5</v>
      </c>
      <c r="B7" s="28">
        <v>100.12322479415225</v>
      </c>
      <c r="C7" s="28">
        <v>103.45847891071236</v>
      </c>
      <c r="D7" s="28">
        <v>99.270864508698807</v>
      </c>
      <c r="E7" s="28">
        <v>100.92415828805761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0DD22-B1A2-4451-9819-25B07C9957CD}">
  <dimension ref="A1:I216"/>
  <sheetViews>
    <sheetView topLeftCell="A2" workbookViewId="0">
      <selection sqref="A1:I216"/>
    </sheetView>
  </sheetViews>
  <sheetFormatPr defaultRowHeight="14.4" x14ac:dyDescent="0.3"/>
  <cols>
    <col min="1" max="1" width="25.109375" bestFit="1" customWidth="1"/>
    <col min="2" max="6" width="9.109375" bestFit="1" customWidth="1"/>
    <col min="7" max="7" width="13.33203125" customWidth="1"/>
    <col min="8" max="8" width="40.33203125" bestFit="1" customWidth="1"/>
  </cols>
  <sheetData>
    <row r="1" spans="1:9" x14ac:dyDescent="0.3">
      <c r="A1" t="s">
        <v>30</v>
      </c>
      <c r="B1" t="s">
        <v>31</v>
      </c>
      <c r="C1" t="s">
        <v>32</v>
      </c>
      <c r="D1" t="s">
        <v>33</v>
      </c>
      <c r="E1" t="s">
        <v>34</v>
      </c>
      <c r="F1" t="s">
        <v>35</v>
      </c>
      <c r="G1" t="s">
        <v>15</v>
      </c>
      <c r="H1" t="s">
        <v>36</v>
      </c>
      <c r="I1" t="s">
        <v>37</v>
      </c>
    </row>
    <row r="2" spans="1:9" x14ac:dyDescent="0.3">
      <c r="A2" t="s">
        <v>38</v>
      </c>
      <c r="G2" t="str">
        <f>VLOOKUP('Combined Data'!A:A,Table13[#All],4, FALSE)</f>
        <v>Low income</v>
      </c>
      <c r="H2" t="str">
        <f>VLOOKUP('Combined Data'!A:A,Table13[],3, FALSE)</f>
        <v>Middle East, North Africa, Afghanistan &amp; Pakistan</v>
      </c>
      <c r="I2" t="s">
        <v>27</v>
      </c>
    </row>
    <row r="3" spans="1:9" x14ac:dyDescent="0.3">
      <c r="A3" t="s">
        <v>39</v>
      </c>
      <c r="B3" s="1">
        <v>100.020970049835</v>
      </c>
      <c r="C3" s="1">
        <v>97.1075038284839</v>
      </c>
      <c r="D3" s="1">
        <v>96.371229930475707</v>
      </c>
      <c r="E3" s="1">
        <v>93.713812013773804</v>
      </c>
      <c r="F3" s="1">
        <v>111.51165008544901</v>
      </c>
      <c r="G3" t="str">
        <f>VLOOKUP('Combined Data'!A:A,Table13[#All],4, FALSE)</f>
        <v>Upper middle income</v>
      </c>
      <c r="H3" t="str">
        <f>VLOOKUP('Combined Data'!A:A,Table13[],3, FALSE)</f>
        <v>Europe &amp; Central Asia</v>
      </c>
      <c r="I3" t="s">
        <v>28</v>
      </c>
    </row>
    <row r="4" spans="1:9" x14ac:dyDescent="0.3">
      <c r="A4" t="s">
        <v>40</v>
      </c>
      <c r="B4" s="1">
        <v>108.531941210547</v>
      </c>
      <c r="C4" s="1">
        <v>104.739764213022</v>
      </c>
      <c r="D4" s="1">
        <v>105.74715363116</v>
      </c>
      <c r="E4" s="1">
        <v>105.84074848087501</v>
      </c>
      <c r="F4" s="1">
        <v>106.368889468205</v>
      </c>
      <c r="G4" t="str">
        <f>VLOOKUP('Combined Data'!A:A,Table13[#All],4, FALSE)</f>
        <v>Upper middle income</v>
      </c>
      <c r="H4" t="str">
        <f>VLOOKUP('Combined Data'!A:A,Table13[],3, FALSE)</f>
        <v>Middle East, North Africa, Afghanistan &amp; Pakistan</v>
      </c>
      <c r="I4" t="s">
        <v>29</v>
      </c>
    </row>
    <row r="5" spans="1:9" x14ac:dyDescent="0.3">
      <c r="A5" t="s">
        <v>41</v>
      </c>
      <c r="B5" s="1"/>
      <c r="C5" s="1"/>
      <c r="D5" s="1"/>
      <c r="E5" s="1"/>
      <c r="F5" s="1"/>
      <c r="G5" t="str">
        <f>VLOOKUP('Combined Data'!A:A,Table13[#All],4, FALSE)</f>
        <v>High income</v>
      </c>
      <c r="H5" t="str">
        <f>VLOOKUP('Combined Data'!A:A,Table13[],3, FALSE)</f>
        <v>East Asia &amp; Pacific</v>
      </c>
      <c r="I5" t="s">
        <v>27</v>
      </c>
    </row>
    <row r="6" spans="1:9" x14ac:dyDescent="0.3">
      <c r="A6" t="s">
        <v>42</v>
      </c>
      <c r="B6" s="1">
        <v>89.427127211457503</v>
      </c>
      <c r="C6" s="1">
        <v>89.737991266375502</v>
      </c>
      <c r="D6" s="1">
        <v>90.465680865151199</v>
      </c>
      <c r="E6" s="1">
        <v>97.444672598676704</v>
      </c>
      <c r="F6" s="1">
        <v>99.857954545454504</v>
      </c>
      <c r="G6" t="str">
        <f>VLOOKUP('Combined Data'!A:A,Table13[#All],4, FALSE)</f>
        <v>High income</v>
      </c>
      <c r="H6" t="str">
        <f>VLOOKUP('Combined Data'!A:A,Table13[],3, FALSE)</f>
        <v>Europe &amp; Central Asia</v>
      </c>
      <c r="I6" t="s">
        <v>28</v>
      </c>
    </row>
    <row r="7" spans="1:9" x14ac:dyDescent="0.3">
      <c r="A7" t="s">
        <v>43</v>
      </c>
      <c r="B7" s="1"/>
      <c r="C7" s="1">
        <v>89.226609466132103</v>
      </c>
      <c r="D7" s="1"/>
      <c r="E7" s="1">
        <v>86.735391878376703</v>
      </c>
      <c r="F7" s="1"/>
      <c r="G7" t="str">
        <f>VLOOKUP('Combined Data'!A:A,Table13[#All],4, FALSE)</f>
        <v>Lower middle income</v>
      </c>
      <c r="H7" t="str">
        <f>VLOOKUP('Combined Data'!A:A,Table13[],3, FALSE)</f>
        <v>Sub-Saharan Africa</v>
      </c>
      <c r="I7" t="s">
        <v>29</v>
      </c>
    </row>
    <row r="8" spans="1:9" x14ac:dyDescent="0.3">
      <c r="A8" t="s">
        <v>44</v>
      </c>
      <c r="B8" s="1"/>
      <c r="C8" s="1"/>
      <c r="D8" s="1">
        <v>121.563206835888</v>
      </c>
      <c r="E8" s="1">
        <v>112.255406797116</v>
      </c>
      <c r="F8" s="1"/>
      <c r="G8" t="str">
        <f>VLOOKUP('Combined Data'!A:A,Table13[#All],4, FALSE)</f>
        <v>High income</v>
      </c>
      <c r="H8" t="str">
        <f>VLOOKUP('Combined Data'!A:A,Table13[],3, FALSE)</f>
        <v>Latin America &amp; Caribbean</v>
      </c>
      <c r="I8" t="s">
        <v>27</v>
      </c>
    </row>
    <row r="9" spans="1:9" x14ac:dyDescent="0.3">
      <c r="A9" t="s">
        <v>45</v>
      </c>
      <c r="B9" s="1">
        <v>108.50462341308599</v>
      </c>
      <c r="C9" s="1">
        <v>108.139617919922</v>
      </c>
      <c r="D9" s="1">
        <v>106.75982666015599</v>
      </c>
      <c r="E9" s="1">
        <v>102.535244031037</v>
      </c>
      <c r="F9" s="1"/>
      <c r="G9" t="str">
        <f>VLOOKUP('Combined Data'!A:A,Table13[#All],4, FALSE)</f>
        <v>Upper middle income</v>
      </c>
      <c r="H9" t="str">
        <f>VLOOKUP('Combined Data'!A:A,Table13[],3, FALSE)</f>
        <v>Latin America &amp; Caribbean</v>
      </c>
      <c r="I9" t="s">
        <v>28</v>
      </c>
    </row>
    <row r="10" spans="1:9" x14ac:dyDescent="0.3">
      <c r="A10" t="s">
        <v>46</v>
      </c>
      <c r="B10" s="1">
        <v>92.869261806125905</v>
      </c>
      <c r="C10" s="1">
        <v>94.639220382878094</v>
      </c>
      <c r="D10" s="1">
        <v>96.945429655901904</v>
      </c>
      <c r="E10" s="1">
        <v>98.089987819120196</v>
      </c>
      <c r="F10" s="1">
        <v>101.990554375733</v>
      </c>
      <c r="G10" t="str">
        <f>VLOOKUP('Combined Data'!A:A,Table13[#All],4, FALSE)</f>
        <v>Upper middle income</v>
      </c>
      <c r="H10" t="str">
        <f>VLOOKUP('Combined Data'!A:A,Table13[],3, FALSE)</f>
        <v>Europe &amp; Central Asia</v>
      </c>
      <c r="I10" t="s">
        <v>29</v>
      </c>
    </row>
    <row r="11" spans="1:9" x14ac:dyDescent="0.3">
      <c r="A11" t="s">
        <v>47</v>
      </c>
      <c r="B11" s="1">
        <v>107.23533630371099</v>
      </c>
      <c r="C11" s="1">
        <v>108.59951019287099</v>
      </c>
      <c r="D11" s="1">
        <v>102.620727539062</v>
      </c>
      <c r="E11" s="1"/>
      <c r="F11" s="1">
        <v>107.716996929947</v>
      </c>
      <c r="G11" t="str">
        <f>VLOOKUP('Combined Data'!A:A,Table13[#All],4, FALSE)</f>
        <v>High income</v>
      </c>
      <c r="H11" t="str">
        <f>VLOOKUP('Combined Data'!A:A,Table13[],3, FALSE)</f>
        <v>Latin America &amp; Caribbean</v>
      </c>
      <c r="I11" t="s">
        <v>27</v>
      </c>
    </row>
    <row r="12" spans="1:9" x14ac:dyDescent="0.3">
      <c r="A12" t="s">
        <v>48</v>
      </c>
      <c r="B12" s="1">
        <v>99.901107788085895</v>
      </c>
      <c r="C12" s="1">
        <v>99.929153442382798</v>
      </c>
      <c r="D12" s="1">
        <v>99.132987976074205</v>
      </c>
      <c r="E12" s="1">
        <v>99.365753173828097</v>
      </c>
      <c r="F12" s="1"/>
      <c r="G12" t="str">
        <f>VLOOKUP('Combined Data'!A:A,Table13[#All],4, FALSE)</f>
        <v>High income</v>
      </c>
      <c r="H12" t="str">
        <f>VLOOKUP('Combined Data'!A:A,Table13[],3, FALSE)</f>
        <v>East Asia &amp; Pacific</v>
      </c>
      <c r="I12" t="s">
        <v>28</v>
      </c>
    </row>
    <row r="13" spans="1:9" x14ac:dyDescent="0.3">
      <c r="A13" t="s">
        <v>49</v>
      </c>
      <c r="B13" s="1">
        <v>101.56085205078099</v>
      </c>
      <c r="C13" s="1">
        <v>101.644119262695</v>
      </c>
      <c r="D13" s="1">
        <v>100.77562713623</v>
      </c>
      <c r="E13" s="1">
        <v>100.902870178223</v>
      </c>
      <c r="F13" s="1"/>
      <c r="G13" t="str">
        <f>VLOOKUP('Combined Data'!A:A,Table13[#All],4, FALSE)</f>
        <v>High income</v>
      </c>
      <c r="H13" t="str">
        <f>VLOOKUP('Combined Data'!A:A,Table13[],3, FALSE)</f>
        <v>Europe &amp; Central Asia</v>
      </c>
      <c r="I13" t="s">
        <v>29</v>
      </c>
    </row>
    <row r="14" spans="1:9" x14ac:dyDescent="0.3">
      <c r="A14" t="s">
        <v>50</v>
      </c>
      <c r="B14" s="1">
        <v>98.236071389783902</v>
      </c>
      <c r="C14" s="1">
        <v>97.730500104459693</v>
      </c>
      <c r="D14" s="1">
        <v>99.808297724414302</v>
      </c>
      <c r="E14" s="1">
        <v>101.979698816442</v>
      </c>
      <c r="F14" s="1">
        <v>105.625024046785</v>
      </c>
      <c r="G14" t="str">
        <f>VLOOKUP('Combined Data'!A:A,Table13[#All],4, FALSE)</f>
        <v>Upper middle income</v>
      </c>
      <c r="H14" t="str">
        <f>VLOOKUP('Combined Data'!A:A,Table13[],3, FALSE)</f>
        <v>Europe &amp; Central Asia</v>
      </c>
      <c r="I14" t="s">
        <v>27</v>
      </c>
    </row>
    <row r="15" spans="1:9" x14ac:dyDescent="0.3">
      <c r="A15" t="s">
        <v>51</v>
      </c>
      <c r="B15" s="1"/>
      <c r="C15" s="1">
        <v>80.523712158203097</v>
      </c>
      <c r="D15" s="1"/>
      <c r="E15" s="1">
        <v>78.393193435566303</v>
      </c>
      <c r="F15" s="1">
        <v>92.856648199445999</v>
      </c>
      <c r="G15" t="str">
        <f>VLOOKUP('Combined Data'!A:A,Table13[#All],4, FALSE)</f>
        <v>High income</v>
      </c>
      <c r="H15" t="str">
        <f>VLOOKUP('Combined Data'!A:A,Table13[],3, FALSE)</f>
        <v>Latin America &amp; Caribbean</v>
      </c>
      <c r="I15" t="s">
        <v>28</v>
      </c>
    </row>
    <row r="16" spans="1:9" x14ac:dyDescent="0.3">
      <c r="A16" t="s">
        <v>52</v>
      </c>
      <c r="B16" s="1"/>
      <c r="C16" s="1"/>
      <c r="D16" s="1">
        <v>96.992729117348702</v>
      </c>
      <c r="E16" s="1">
        <v>93.899895308042105</v>
      </c>
      <c r="F16" s="1">
        <v>96.875247524752496</v>
      </c>
      <c r="G16" t="str">
        <f>VLOOKUP('Combined Data'!A:A,Table13[#All],4, FALSE)</f>
        <v>High income</v>
      </c>
      <c r="H16" t="str">
        <f>VLOOKUP('Combined Data'!A:A,Table13[],3, FALSE)</f>
        <v>Middle East, North Africa, Afghanistan &amp; Pakistan</v>
      </c>
      <c r="I16" t="s">
        <v>29</v>
      </c>
    </row>
    <row r="17" spans="1:9" x14ac:dyDescent="0.3">
      <c r="A17" t="s">
        <v>53</v>
      </c>
      <c r="B17" s="1">
        <v>110.066619873047</v>
      </c>
      <c r="C17" s="1">
        <v>106.334849059692</v>
      </c>
      <c r="D17" s="1">
        <v>107.802066750685</v>
      </c>
      <c r="E17" s="1">
        <v>103.116421399751</v>
      </c>
      <c r="F17" s="1">
        <v>106.491310395865</v>
      </c>
      <c r="G17" t="str">
        <f>VLOOKUP('Combined Data'!A:A,Table13[#All],4, FALSE)</f>
        <v>Lower middle income</v>
      </c>
      <c r="H17" t="str">
        <f>VLOOKUP('Combined Data'!A:A,Table13[],3, FALSE)</f>
        <v>South Asia</v>
      </c>
      <c r="I17" t="s">
        <v>27</v>
      </c>
    </row>
    <row r="18" spans="1:9" x14ac:dyDescent="0.3">
      <c r="A18" t="s">
        <v>54</v>
      </c>
      <c r="B18" s="1">
        <v>94.513482980500001</v>
      </c>
      <c r="C18" s="1">
        <v>92.770903261359607</v>
      </c>
      <c r="D18" s="1">
        <v>90.187531677648295</v>
      </c>
      <c r="E18" s="1">
        <v>88.007568783880501</v>
      </c>
      <c r="F18" s="1">
        <v>83.937024079028603</v>
      </c>
      <c r="G18" t="str">
        <f>VLOOKUP('Combined Data'!A:A,Table13[#All],4, FALSE)</f>
        <v>High income</v>
      </c>
      <c r="H18" t="str">
        <f>VLOOKUP('Combined Data'!A:A,Table13[],3, FALSE)</f>
        <v>Latin America &amp; Caribbean</v>
      </c>
      <c r="I18" t="s">
        <v>28</v>
      </c>
    </row>
    <row r="19" spans="1:9" x14ac:dyDescent="0.3">
      <c r="A19" t="s">
        <v>55</v>
      </c>
      <c r="B19" s="1">
        <v>95.525014830927404</v>
      </c>
      <c r="C19" s="1">
        <v>95.526643747314097</v>
      </c>
      <c r="D19" s="1">
        <v>95.430714929186394</v>
      </c>
      <c r="E19" s="1">
        <v>95.218363103576806</v>
      </c>
      <c r="F19" s="1">
        <v>96.822403007302398</v>
      </c>
      <c r="G19" t="str">
        <f>VLOOKUP('Combined Data'!A:A,Table13[#All],4, FALSE)</f>
        <v>Upper middle income</v>
      </c>
      <c r="H19" t="str">
        <f>VLOOKUP('Combined Data'!A:A,Table13[],3, FALSE)</f>
        <v>Europe &amp; Central Asia</v>
      </c>
      <c r="I19" t="s">
        <v>29</v>
      </c>
    </row>
    <row r="20" spans="1:9" x14ac:dyDescent="0.3">
      <c r="A20" t="s">
        <v>56</v>
      </c>
      <c r="B20" s="1">
        <v>102.06427001953099</v>
      </c>
      <c r="C20" s="1">
        <v>101.82113647460901</v>
      </c>
      <c r="D20" s="1">
        <v>102.17698669433599</v>
      </c>
      <c r="E20" s="1">
        <v>102.10800933837901</v>
      </c>
      <c r="F20" s="1"/>
      <c r="G20" t="str">
        <f>VLOOKUP('Combined Data'!A:A,Table13[#All],4, FALSE)</f>
        <v>High income</v>
      </c>
      <c r="H20" t="str">
        <f>VLOOKUP('Combined Data'!A:A,Table13[],3, FALSE)</f>
        <v>Europe &amp; Central Asia</v>
      </c>
      <c r="I20" t="s">
        <v>27</v>
      </c>
    </row>
    <row r="21" spans="1:9" x14ac:dyDescent="0.3">
      <c r="A21" t="s">
        <v>57</v>
      </c>
      <c r="B21" s="1">
        <v>112.251430128031</v>
      </c>
      <c r="C21" s="1">
        <v>107.337270073984</v>
      </c>
      <c r="D21" s="1">
        <v>101.53137311638901</v>
      </c>
      <c r="E21" s="1">
        <v>97.787446161918695</v>
      </c>
      <c r="F21" s="1">
        <v>96.481924594192606</v>
      </c>
      <c r="G21" t="str">
        <f>VLOOKUP('Combined Data'!A:A,Table13[#All],4, FALSE)</f>
        <v>Upper middle income</v>
      </c>
      <c r="H21" t="str">
        <f>VLOOKUP('Combined Data'!A:A,Table13[],3, FALSE)</f>
        <v>Latin America &amp; Caribbean</v>
      </c>
      <c r="I21" t="s">
        <v>28</v>
      </c>
    </row>
    <row r="22" spans="1:9" x14ac:dyDescent="0.3">
      <c r="A22" t="s">
        <v>58</v>
      </c>
      <c r="B22" s="1">
        <v>104.033172607422</v>
      </c>
      <c r="C22" s="1">
        <v>105.631301879883</v>
      </c>
      <c r="D22" s="1">
        <v>108.036239624023</v>
      </c>
      <c r="E22" s="1"/>
      <c r="F22" s="1"/>
      <c r="G22" t="str">
        <f>VLOOKUP('Combined Data'!A:A,Table13[#All],4, FALSE)</f>
        <v>Lower middle income</v>
      </c>
      <c r="H22" t="str">
        <f>VLOOKUP('Combined Data'!A:A,Table13[],3, FALSE)</f>
        <v>Sub-Saharan Africa</v>
      </c>
      <c r="I22" t="s">
        <v>29</v>
      </c>
    </row>
    <row r="23" spans="1:9" x14ac:dyDescent="0.3">
      <c r="A23" t="s">
        <v>59</v>
      </c>
      <c r="B23" s="1"/>
      <c r="C23" s="1"/>
      <c r="D23" s="1"/>
      <c r="E23" s="1">
        <v>92.851249694824205</v>
      </c>
      <c r="F23" s="1"/>
      <c r="G23" t="str">
        <f>VLOOKUP('Combined Data'!A:A,Table13[#All],4, FALSE)</f>
        <v>High income</v>
      </c>
      <c r="H23" t="str">
        <f>VLOOKUP('Combined Data'!A:A,Table13[],3, FALSE)</f>
        <v>North America</v>
      </c>
      <c r="I23" t="s">
        <v>27</v>
      </c>
    </row>
    <row r="24" spans="1:9" x14ac:dyDescent="0.3">
      <c r="A24" t="s">
        <v>60</v>
      </c>
      <c r="B24" s="1">
        <v>103.826009511759</v>
      </c>
      <c r="C24" s="1">
        <v>105.461046747645</v>
      </c>
      <c r="D24" s="1">
        <v>105.26615140534101</v>
      </c>
      <c r="E24" s="1">
        <v>106.687397950258</v>
      </c>
      <c r="F24" s="1">
        <v>114.881123575514</v>
      </c>
      <c r="G24" t="str">
        <f>VLOOKUP('Combined Data'!A:A,Table13[#All],4, FALSE)</f>
        <v>Lower middle income</v>
      </c>
      <c r="H24" t="str">
        <f>VLOOKUP('Combined Data'!A:A,Table13[],3, FALSE)</f>
        <v>South Asia</v>
      </c>
      <c r="I24" t="s">
        <v>28</v>
      </c>
    </row>
    <row r="25" spans="1:9" x14ac:dyDescent="0.3">
      <c r="A25" t="s">
        <v>61</v>
      </c>
      <c r="B25" s="1">
        <v>98.236948607962503</v>
      </c>
      <c r="C25" s="1">
        <v>98.469422839840902</v>
      </c>
      <c r="D25" s="1">
        <v>99.196087887771498</v>
      </c>
      <c r="E25" s="1">
        <v>98.572689462578595</v>
      </c>
      <c r="F25" s="1"/>
      <c r="G25" t="str">
        <f>VLOOKUP('Combined Data'!A:A,Table13[#All],4, FALSE)</f>
        <v>Lower middle income</v>
      </c>
      <c r="H25" t="str">
        <f>VLOOKUP('Combined Data'!A:A,Table13[],3, FALSE)</f>
        <v>Latin America &amp; Caribbean</v>
      </c>
      <c r="I25" t="s">
        <v>29</v>
      </c>
    </row>
    <row r="26" spans="1:9" x14ac:dyDescent="0.3">
      <c r="A26" t="s">
        <v>62</v>
      </c>
      <c r="B26" s="1">
        <v>100.26393127441401</v>
      </c>
      <c r="C26" s="1">
        <v>101.168617248535</v>
      </c>
      <c r="D26" s="1">
        <v>101.60450744628901</v>
      </c>
      <c r="E26" s="1">
        <v>101.194877624512</v>
      </c>
      <c r="F26" s="1"/>
      <c r="G26" t="str">
        <f>VLOOKUP('Combined Data'!A:A,Table13[#All],4, FALSE)</f>
        <v>Upper middle income</v>
      </c>
      <c r="H26" t="str">
        <f>VLOOKUP('Combined Data'!A:A,Table13[],3, FALSE)</f>
        <v>Europe &amp; Central Asia</v>
      </c>
      <c r="I26" t="s">
        <v>27</v>
      </c>
    </row>
    <row r="27" spans="1:9" x14ac:dyDescent="0.3">
      <c r="A27" t="s">
        <v>63</v>
      </c>
      <c r="B27" s="1"/>
      <c r="C27" s="1">
        <v>104.619979858398</v>
      </c>
      <c r="D27" s="1">
        <v>109.27325614686001</v>
      </c>
      <c r="E27" s="1"/>
      <c r="F27" s="1"/>
      <c r="G27" t="str">
        <f>VLOOKUP('Combined Data'!A:A,Table13[#All],4, FALSE)</f>
        <v>Upper middle income</v>
      </c>
      <c r="H27" t="str">
        <f>VLOOKUP('Combined Data'!A:A,Table13[],3, FALSE)</f>
        <v>Sub-Saharan Africa</v>
      </c>
      <c r="I27" t="s">
        <v>28</v>
      </c>
    </row>
    <row r="28" spans="1:9" x14ac:dyDescent="0.3">
      <c r="A28" t="s">
        <v>64</v>
      </c>
      <c r="B28" s="1">
        <v>105.49819946289099</v>
      </c>
      <c r="C28" s="1">
        <v>103.4716796875</v>
      </c>
      <c r="D28" s="1">
        <v>103.970321655273</v>
      </c>
      <c r="E28" s="1"/>
      <c r="F28" s="1"/>
      <c r="G28" t="str">
        <f>VLOOKUP('Combined Data'!A:A,Table13[#All],4, FALSE)</f>
        <v>Upper middle income</v>
      </c>
      <c r="H28" t="str">
        <f>VLOOKUP('Combined Data'!A:A,Table13[],3, FALSE)</f>
        <v>Latin America &amp; Caribbean</v>
      </c>
      <c r="I28" t="s">
        <v>29</v>
      </c>
    </row>
    <row r="29" spans="1:9" x14ac:dyDescent="0.3">
      <c r="A29" t="s">
        <v>65</v>
      </c>
      <c r="B29" s="1">
        <v>86.852207293665998</v>
      </c>
      <c r="C29" s="1">
        <v>92.6870177792687</v>
      </c>
      <c r="D29" s="1">
        <v>73.171569824218807</v>
      </c>
      <c r="E29" s="1">
        <v>87.316561844863699</v>
      </c>
      <c r="F29" s="1">
        <v>72.779991149902301</v>
      </c>
      <c r="G29" t="str">
        <f>VLOOKUP('Combined Data'!A:A,Table13[#All],4, FALSE)</f>
        <v>High income</v>
      </c>
      <c r="H29" t="str">
        <f>VLOOKUP('Combined Data'!A:A,Table13[],3, FALSE)</f>
        <v>Latin America &amp; Caribbean</v>
      </c>
      <c r="I29" t="s">
        <v>27</v>
      </c>
    </row>
    <row r="30" spans="1:9" x14ac:dyDescent="0.3">
      <c r="A30" t="s">
        <v>66</v>
      </c>
      <c r="B30" s="1">
        <v>102.70963396627199</v>
      </c>
      <c r="C30" s="1">
        <v>101.387926832397</v>
      </c>
      <c r="D30" s="1">
        <v>99.134912983915996</v>
      </c>
      <c r="E30" s="1">
        <v>96.929218871619796</v>
      </c>
      <c r="F30" s="1"/>
      <c r="G30" t="str">
        <f>VLOOKUP('Combined Data'!A:A,Table13[#All],4, FALSE)</f>
        <v>High income</v>
      </c>
      <c r="H30" t="str">
        <f>VLOOKUP('Combined Data'!A:A,Table13[],3, FALSE)</f>
        <v>East Asia &amp; Pacific</v>
      </c>
      <c r="I30" t="s">
        <v>28</v>
      </c>
    </row>
    <row r="31" spans="1:9" x14ac:dyDescent="0.3">
      <c r="A31" t="s">
        <v>67</v>
      </c>
      <c r="B31" s="1">
        <v>96.543762207031193</v>
      </c>
      <c r="C31" s="1">
        <v>95.611099243164105</v>
      </c>
      <c r="D31" s="1">
        <v>95.888519287109403</v>
      </c>
      <c r="E31" s="1">
        <v>95.4232177734375</v>
      </c>
      <c r="F31" s="1"/>
      <c r="G31" t="str">
        <f>VLOOKUP('Combined Data'!A:A,Table13[#All],4, FALSE)</f>
        <v>High income</v>
      </c>
      <c r="H31" t="str">
        <f>VLOOKUP('Combined Data'!A:A,Table13[],3, FALSE)</f>
        <v>Europe &amp; Central Asia</v>
      </c>
      <c r="I31" t="s">
        <v>29</v>
      </c>
    </row>
    <row r="32" spans="1:9" x14ac:dyDescent="0.3">
      <c r="A32" t="s">
        <v>68</v>
      </c>
      <c r="B32" s="1">
        <v>87.698847343753798</v>
      </c>
      <c r="C32" s="1">
        <v>87.018335361719807</v>
      </c>
      <c r="D32" s="1">
        <v>82.256706432091605</v>
      </c>
      <c r="E32" s="1">
        <v>72.2385948607578</v>
      </c>
      <c r="F32" s="1">
        <v>77.166592550410797</v>
      </c>
      <c r="G32" t="str">
        <f>VLOOKUP('Combined Data'!A:A,Table13[#All],4, FALSE)</f>
        <v>Low income</v>
      </c>
      <c r="H32" t="str">
        <f>VLOOKUP('Combined Data'!A:A,Table13[],3, FALSE)</f>
        <v>Sub-Saharan Africa</v>
      </c>
      <c r="I32" t="s">
        <v>27</v>
      </c>
    </row>
    <row r="33" spans="1:9" x14ac:dyDescent="0.3">
      <c r="A33" t="s">
        <v>69</v>
      </c>
      <c r="B33" s="1">
        <v>101.661087301601</v>
      </c>
      <c r="C33" s="1"/>
      <c r="D33" s="1"/>
      <c r="E33" s="1"/>
      <c r="F33" s="1"/>
      <c r="G33" t="str">
        <f>VLOOKUP('Combined Data'!A:A,Table13[#All],4, FALSE)</f>
        <v>Low income</v>
      </c>
      <c r="H33" t="str">
        <f>VLOOKUP('Combined Data'!A:A,Table13[],3, FALSE)</f>
        <v>Sub-Saharan Africa</v>
      </c>
      <c r="I33" t="s">
        <v>28</v>
      </c>
    </row>
    <row r="34" spans="1:9" x14ac:dyDescent="0.3">
      <c r="A34" t="s">
        <v>70</v>
      </c>
      <c r="B34" s="1">
        <v>103.42828248778</v>
      </c>
      <c r="C34" s="1">
        <v>103.025970530848</v>
      </c>
      <c r="D34" s="1">
        <v>102.973013922324</v>
      </c>
      <c r="E34" s="1"/>
      <c r="F34" s="1"/>
      <c r="G34" t="str">
        <f>VLOOKUP('Combined Data'!A:A,Table13[#All],4, FALSE)</f>
        <v>Upper middle income</v>
      </c>
      <c r="H34" t="str">
        <f>VLOOKUP('Combined Data'!A:A,Table13[],3, FALSE)</f>
        <v>Sub-Saharan Africa</v>
      </c>
      <c r="I34" t="s">
        <v>29</v>
      </c>
    </row>
    <row r="35" spans="1:9" x14ac:dyDescent="0.3">
      <c r="A35" t="s">
        <v>71</v>
      </c>
      <c r="B35" s="1">
        <v>107.02101898193401</v>
      </c>
      <c r="C35" s="1">
        <v>105.282475574163</v>
      </c>
      <c r="D35" s="1">
        <v>106.331544381276</v>
      </c>
      <c r="E35" s="1">
        <v>107.039014463223</v>
      </c>
      <c r="F35" s="1">
        <v>108.97133284966699</v>
      </c>
      <c r="G35" t="str">
        <f>VLOOKUP('Combined Data'!A:A,Table13[#All],4, FALSE)</f>
        <v>Lower middle income</v>
      </c>
      <c r="H35" t="str">
        <f>VLOOKUP('Combined Data'!A:A,Table13[],3, FALSE)</f>
        <v>East Asia &amp; Pacific</v>
      </c>
      <c r="I35" t="s">
        <v>27</v>
      </c>
    </row>
    <row r="36" spans="1:9" x14ac:dyDescent="0.3">
      <c r="A36" t="s">
        <v>72</v>
      </c>
      <c r="B36" s="1"/>
      <c r="C36" s="1">
        <v>110.107790367283</v>
      </c>
      <c r="D36" s="1">
        <v>112.49463611348401</v>
      </c>
      <c r="E36" s="1">
        <v>114.42483263675901</v>
      </c>
      <c r="F36" s="1">
        <v>114.407278765947</v>
      </c>
      <c r="G36" t="str">
        <f>VLOOKUP('Combined Data'!A:A,Table13[#All],4, FALSE)</f>
        <v>Lower middle income</v>
      </c>
      <c r="H36" t="str">
        <f>VLOOKUP('Combined Data'!A:A,Table13[],3, FALSE)</f>
        <v>Sub-Saharan Africa</v>
      </c>
      <c r="I36" t="s">
        <v>28</v>
      </c>
    </row>
    <row r="37" spans="1:9" x14ac:dyDescent="0.3">
      <c r="A37" t="s">
        <v>73</v>
      </c>
      <c r="B37" s="1">
        <v>96.908973693847699</v>
      </c>
      <c r="C37" s="1">
        <v>95.229621887207003</v>
      </c>
      <c r="D37" s="1">
        <v>94.744979858398395</v>
      </c>
      <c r="E37" s="1">
        <v>94.952339172363295</v>
      </c>
      <c r="F37" s="1"/>
      <c r="G37" t="str">
        <f>VLOOKUP('Combined Data'!A:A,Table13[#All],4, FALSE)</f>
        <v>High income</v>
      </c>
      <c r="H37" t="str">
        <f>VLOOKUP('Combined Data'!A:A,Table13[],3, FALSE)</f>
        <v>North America</v>
      </c>
      <c r="I37" t="s">
        <v>29</v>
      </c>
    </row>
    <row r="38" spans="1:9" x14ac:dyDescent="0.3">
      <c r="A38" t="s">
        <v>74</v>
      </c>
      <c r="B38" s="1">
        <v>97.652379926771502</v>
      </c>
      <c r="C38" s="1">
        <v>95.478489903424105</v>
      </c>
      <c r="D38" s="1">
        <v>98.385670057496696</v>
      </c>
      <c r="E38" s="1">
        <v>101.44124168514401</v>
      </c>
      <c r="F38" s="1">
        <v>95.736690965319198</v>
      </c>
      <c r="G38" t="str">
        <f>VLOOKUP('Combined Data'!A:A,Table13[#All],4, FALSE)</f>
        <v>High income</v>
      </c>
      <c r="H38" t="str">
        <f>VLOOKUP('Combined Data'!A:A,Table13[],3, FALSE)</f>
        <v>Latin America &amp; Caribbean</v>
      </c>
      <c r="I38" t="s">
        <v>27</v>
      </c>
    </row>
    <row r="39" spans="1:9" x14ac:dyDescent="0.3">
      <c r="A39" t="s">
        <v>75</v>
      </c>
      <c r="B39" s="1"/>
      <c r="C39" s="1"/>
      <c r="D39" s="1"/>
      <c r="E39" s="1"/>
      <c r="F39" s="1"/>
      <c r="G39" t="str">
        <f>VLOOKUP('Combined Data'!A:A,Table13[#All],4, FALSE)</f>
        <v>Low income</v>
      </c>
      <c r="H39" t="str">
        <f>VLOOKUP('Combined Data'!A:A,Table13[],3, FALSE)</f>
        <v>Sub-Saharan Africa</v>
      </c>
      <c r="I39" t="s">
        <v>28</v>
      </c>
    </row>
    <row r="40" spans="1:9" x14ac:dyDescent="0.3">
      <c r="A40" t="s">
        <v>76</v>
      </c>
      <c r="B40" s="1"/>
      <c r="C40" s="1">
        <v>86.145430389142106</v>
      </c>
      <c r="D40" s="1">
        <v>87.034731678062798</v>
      </c>
      <c r="E40" s="1">
        <v>88.343657859433407</v>
      </c>
      <c r="F40" s="1">
        <v>88.464521953344999</v>
      </c>
      <c r="G40" t="str">
        <f>VLOOKUP('Combined Data'!A:A,Table13[#All],4, FALSE)</f>
        <v>Low income</v>
      </c>
      <c r="H40" t="str">
        <f>VLOOKUP('Combined Data'!A:A,Table13[],3, FALSE)</f>
        <v>Sub-Saharan Africa</v>
      </c>
      <c r="I40" t="s">
        <v>29</v>
      </c>
    </row>
    <row r="41" spans="1:9" x14ac:dyDescent="0.3">
      <c r="A41" t="s">
        <v>77</v>
      </c>
      <c r="B41" s="1"/>
      <c r="C41" s="1"/>
      <c r="D41" s="1"/>
      <c r="E41" s="1"/>
      <c r="F41" s="1"/>
      <c r="G41" t="str">
        <f>VLOOKUP('Combined Data'!A:A,Table13[#All],4, FALSE)</f>
        <v>High income</v>
      </c>
      <c r="H41" t="str">
        <f>VLOOKUP('Combined Data'!A:A,Table13[],3, FALSE)</f>
        <v>Europe &amp; Central Asia</v>
      </c>
      <c r="I41" t="s">
        <v>27</v>
      </c>
    </row>
    <row r="42" spans="1:9" x14ac:dyDescent="0.3">
      <c r="A42" t="s">
        <v>78</v>
      </c>
      <c r="B42" s="1">
        <v>99.704399108886705</v>
      </c>
      <c r="C42" s="1">
        <v>99.365226745605497</v>
      </c>
      <c r="D42" s="1">
        <v>100.192268371582</v>
      </c>
      <c r="E42" s="1">
        <v>100.31838226318401</v>
      </c>
      <c r="F42" s="1"/>
      <c r="G42" t="str">
        <f>VLOOKUP('Combined Data'!A:A,Table13[#All],4, FALSE)</f>
        <v>High income</v>
      </c>
      <c r="H42" t="str">
        <f>VLOOKUP('Combined Data'!A:A,Table13[],3, FALSE)</f>
        <v>Latin America &amp; Caribbean</v>
      </c>
      <c r="I42" t="s">
        <v>28</v>
      </c>
    </row>
    <row r="43" spans="1:9" x14ac:dyDescent="0.3">
      <c r="A43" t="s">
        <v>79</v>
      </c>
      <c r="B43" s="1">
        <v>98.786062591834593</v>
      </c>
      <c r="C43" s="1">
        <v>99.229455586660293</v>
      </c>
      <c r="D43" s="1">
        <v>100.09807464465</v>
      </c>
      <c r="E43" s="1">
        <v>99.171863423957106</v>
      </c>
      <c r="F43" s="1">
        <v>99.644962886981006</v>
      </c>
      <c r="G43" t="str">
        <f>VLOOKUP('Combined Data'!A:A,Table13[#All],4, FALSE)</f>
        <v>Upper middle income</v>
      </c>
      <c r="H43" t="str">
        <f>VLOOKUP('Combined Data'!A:A,Table13[],3, FALSE)</f>
        <v>East Asia &amp; Pacific</v>
      </c>
      <c r="I43" t="s">
        <v>29</v>
      </c>
    </row>
    <row r="44" spans="1:9" x14ac:dyDescent="0.3">
      <c r="A44" t="s">
        <v>80</v>
      </c>
      <c r="B44" s="1">
        <v>107.083686828613</v>
      </c>
      <c r="C44" s="1">
        <v>106.488357543945</v>
      </c>
      <c r="D44" s="1">
        <v>104.83046722412099</v>
      </c>
      <c r="E44" s="1"/>
      <c r="F44" s="1"/>
      <c r="G44" t="str">
        <f>VLOOKUP('Combined Data'!A:A,Table13[#All],4, FALSE)</f>
        <v>Upper middle income</v>
      </c>
      <c r="H44" t="str">
        <f>VLOOKUP('Combined Data'!A:A,Table13[],3, FALSE)</f>
        <v>Latin America &amp; Caribbean</v>
      </c>
      <c r="I44" t="s">
        <v>27</v>
      </c>
    </row>
    <row r="45" spans="1:9" x14ac:dyDescent="0.3">
      <c r="A45" t="s">
        <v>81</v>
      </c>
      <c r="B45" s="1"/>
      <c r="C45" s="1">
        <v>86.817528141891302</v>
      </c>
      <c r="D45" s="1"/>
      <c r="E45" s="1"/>
      <c r="F45" s="1">
        <v>97.004918997967806</v>
      </c>
      <c r="G45" t="str">
        <f>VLOOKUP('Combined Data'!A:A,Table13[#All],4, FALSE)</f>
        <v>Lower middle income</v>
      </c>
      <c r="H45" t="str">
        <f>VLOOKUP('Combined Data'!A:A,Table13[],3, FALSE)</f>
        <v>Sub-Saharan Africa</v>
      </c>
      <c r="I45" t="s">
        <v>28</v>
      </c>
    </row>
    <row r="46" spans="1:9" x14ac:dyDescent="0.3">
      <c r="A46" t="s">
        <v>82</v>
      </c>
      <c r="B46" s="1">
        <v>115.89829254150401</v>
      </c>
      <c r="C46" s="1">
        <v>120.06845092773401</v>
      </c>
      <c r="D46" s="1"/>
      <c r="E46" s="1">
        <v>117.602096557617</v>
      </c>
      <c r="F46" s="1"/>
      <c r="G46" t="str">
        <f>VLOOKUP('Combined Data'!A:A,Table13[#All],4, FALSE)</f>
        <v>Low income</v>
      </c>
      <c r="H46" t="str">
        <f>VLOOKUP('Combined Data'!A:A,Table13[],3, FALSE)</f>
        <v>Sub-Saharan Africa</v>
      </c>
      <c r="I46" t="s">
        <v>29</v>
      </c>
    </row>
    <row r="47" spans="1:9" x14ac:dyDescent="0.3">
      <c r="A47" t="s">
        <v>83</v>
      </c>
      <c r="B47" s="1"/>
      <c r="C47" s="1"/>
      <c r="D47" s="1"/>
      <c r="E47" s="1">
        <v>87.880241394042997</v>
      </c>
      <c r="F47" s="1"/>
      <c r="G47" t="str">
        <f>VLOOKUP('Combined Data'!A:A,Table13[#All],4, FALSE)</f>
        <v>Lower middle income</v>
      </c>
      <c r="H47" t="str">
        <f>VLOOKUP('Combined Data'!A:A,Table13[],3, FALSE)</f>
        <v>Sub-Saharan Africa</v>
      </c>
      <c r="I47" t="s">
        <v>27</v>
      </c>
    </row>
    <row r="48" spans="1:9" x14ac:dyDescent="0.3">
      <c r="A48" t="s">
        <v>84</v>
      </c>
      <c r="B48" s="1">
        <v>108.293647766113</v>
      </c>
      <c r="C48" s="1">
        <v>107.19036865234401</v>
      </c>
      <c r="D48" s="1">
        <v>106.197128295898</v>
      </c>
      <c r="E48" s="1">
        <v>106.156616210938</v>
      </c>
      <c r="F48" s="1"/>
      <c r="G48" t="str">
        <f>VLOOKUP('Combined Data'!A:A,Table13[#All],4, FALSE)</f>
        <v>High income</v>
      </c>
      <c r="H48" t="str">
        <f>VLOOKUP('Combined Data'!A:A,Table13[],3, FALSE)</f>
        <v>Latin America &amp; Caribbean</v>
      </c>
      <c r="I48" t="s">
        <v>28</v>
      </c>
    </row>
    <row r="49" spans="1:9" x14ac:dyDescent="0.3">
      <c r="A49" t="s">
        <v>85</v>
      </c>
      <c r="B49" s="1">
        <v>88.626659846954098</v>
      </c>
      <c r="C49" s="1">
        <v>85.830088505201999</v>
      </c>
      <c r="D49" s="1">
        <v>86.454583878777797</v>
      </c>
      <c r="E49" s="1">
        <v>91.809341224139899</v>
      </c>
      <c r="F49" s="1">
        <v>93.296436882688198</v>
      </c>
      <c r="G49" t="str">
        <f>VLOOKUP('Combined Data'!A:A,Table13[#All],4, FALSE)</f>
        <v>Lower middle income</v>
      </c>
      <c r="H49" t="str">
        <f>VLOOKUP('Combined Data'!A:A,Table13[],3, FALSE)</f>
        <v>Sub-Saharan Africa</v>
      </c>
      <c r="I49" t="s">
        <v>29</v>
      </c>
    </row>
    <row r="50" spans="1:9" x14ac:dyDescent="0.3">
      <c r="A50" t="s">
        <v>86</v>
      </c>
      <c r="B50" s="1">
        <v>99.488670349121094</v>
      </c>
      <c r="C50" s="1">
        <v>99.744148254394503</v>
      </c>
      <c r="D50" s="1">
        <v>100.52797698974599</v>
      </c>
      <c r="E50" s="1">
        <v>101.157791137695</v>
      </c>
      <c r="F50" s="1"/>
      <c r="G50" t="str">
        <f>VLOOKUP('Combined Data'!A:A,Table13[#All],4, FALSE)</f>
        <v>High income</v>
      </c>
      <c r="H50" t="str">
        <f>VLOOKUP('Combined Data'!A:A,Table13[],3, FALSE)</f>
        <v>Europe &amp; Central Asia</v>
      </c>
      <c r="I50" t="s">
        <v>27</v>
      </c>
    </row>
    <row r="51" spans="1:9" x14ac:dyDescent="0.3">
      <c r="A51" t="s">
        <v>87</v>
      </c>
      <c r="B51" s="1">
        <v>101.31743274332101</v>
      </c>
      <c r="C51" s="1">
        <v>101.302915584834</v>
      </c>
      <c r="D51" s="1">
        <v>100.580196272572</v>
      </c>
      <c r="E51" s="1">
        <v>99.328173383104399</v>
      </c>
      <c r="F51" s="1">
        <v>98.109219190307897</v>
      </c>
      <c r="G51" t="str">
        <f>VLOOKUP('Combined Data'!A:A,Table13[#All],4, FALSE)</f>
        <v>Upper middle income</v>
      </c>
      <c r="H51" t="str">
        <f>VLOOKUP('Combined Data'!A:A,Table13[],3, FALSE)</f>
        <v>Latin America &amp; Caribbean</v>
      </c>
      <c r="I51" t="s">
        <v>28</v>
      </c>
    </row>
    <row r="52" spans="1:9" x14ac:dyDescent="0.3">
      <c r="A52" t="s">
        <v>88</v>
      </c>
      <c r="B52" s="1">
        <v>113.350877192982</v>
      </c>
      <c r="C52" s="1"/>
      <c r="D52" s="1"/>
      <c r="E52" s="1">
        <v>109.168144897769</v>
      </c>
      <c r="F52" s="1"/>
      <c r="G52" t="str">
        <f>VLOOKUP('Combined Data'!A:A,Table13[#All],4, FALSE)</f>
        <v>High income</v>
      </c>
      <c r="H52" t="str">
        <f>VLOOKUP('Combined Data'!A:A,Table13[],3, FALSE)</f>
        <v>Latin America &amp; Caribbean</v>
      </c>
      <c r="I52" t="s">
        <v>29</v>
      </c>
    </row>
    <row r="53" spans="1:9" x14ac:dyDescent="0.3">
      <c r="A53" t="s">
        <v>89</v>
      </c>
      <c r="B53" s="1">
        <v>100.735160827637</v>
      </c>
      <c r="C53" s="1">
        <v>99.102813720703097</v>
      </c>
      <c r="D53" s="1">
        <v>97.001640319824205</v>
      </c>
      <c r="E53" s="1">
        <v>98.591827392578097</v>
      </c>
      <c r="F53" s="1"/>
      <c r="G53" t="str">
        <f>VLOOKUP('Combined Data'!A:A,Table13[#All],4, FALSE)</f>
        <v>High income</v>
      </c>
      <c r="H53" t="str">
        <f>VLOOKUP('Combined Data'!A:A,Table13[],3, FALSE)</f>
        <v>Europe &amp; Central Asia</v>
      </c>
      <c r="I53" t="s">
        <v>27</v>
      </c>
    </row>
    <row r="54" spans="1:9" x14ac:dyDescent="0.3">
      <c r="A54" t="s">
        <v>90</v>
      </c>
      <c r="B54" s="1">
        <v>99.784530639648395</v>
      </c>
      <c r="C54" s="1">
        <v>101.677841186523</v>
      </c>
      <c r="D54" s="1">
        <v>100.97534942627</v>
      </c>
      <c r="E54" s="1">
        <v>99.699089050292997</v>
      </c>
      <c r="F54" s="1"/>
      <c r="G54" t="str">
        <f>VLOOKUP('Combined Data'!A:A,Table13[#All],4, FALSE)</f>
        <v>High income</v>
      </c>
      <c r="H54" t="str">
        <f>VLOOKUP('Combined Data'!A:A,Table13[],3, FALSE)</f>
        <v>Europe &amp; Central Asia</v>
      </c>
      <c r="I54" t="s">
        <v>28</v>
      </c>
    </row>
    <row r="55" spans="1:9" x14ac:dyDescent="0.3">
      <c r="A55" t="s">
        <v>91</v>
      </c>
      <c r="B55" s="1">
        <v>100.459587097168</v>
      </c>
      <c r="C55" s="1">
        <v>100.30841827392599</v>
      </c>
      <c r="D55" s="1">
        <v>100.24445343017599</v>
      </c>
      <c r="E55" s="1">
        <v>99.869888305664105</v>
      </c>
      <c r="F55" s="1"/>
      <c r="G55" t="str">
        <f>VLOOKUP('Combined Data'!A:A,Table13[#All],4, FALSE)</f>
        <v>High income</v>
      </c>
      <c r="H55" t="str">
        <f>VLOOKUP('Combined Data'!A:A,Table13[],3, FALSE)</f>
        <v>Europe &amp; Central Asia</v>
      </c>
      <c r="I55" t="s">
        <v>29</v>
      </c>
    </row>
    <row r="56" spans="1:9" x14ac:dyDescent="0.3">
      <c r="A56" t="s">
        <v>92</v>
      </c>
      <c r="B56" s="1"/>
      <c r="C56" s="1"/>
      <c r="D56" s="1"/>
      <c r="E56" s="1"/>
      <c r="F56" s="1"/>
      <c r="G56" t="str">
        <f>VLOOKUP('Combined Data'!A:A,Table13[#All],4, FALSE)</f>
        <v>Lower middle income</v>
      </c>
      <c r="H56" t="str">
        <f>VLOOKUP('Combined Data'!A:A,Table13[],3, FALSE)</f>
        <v>Middle East, North Africa, Afghanistan &amp; Pakistan</v>
      </c>
      <c r="I56" t="s">
        <v>27</v>
      </c>
    </row>
    <row r="57" spans="1:9" x14ac:dyDescent="0.3">
      <c r="A57" t="s">
        <v>93</v>
      </c>
      <c r="B57" s="1">
        <v>99.325517905893705</v>
      </c>
      <c r="C57" s="1">
        <v>101.036354663596</v>
      </c>
      <c r="D57" s="1">
        <v>100.808761583825</v>
      </c>
      <c r="E57" s="1">
        <v>99.072164948453604</v>
      </c>
      <c r="F57" s="1">
        <v>96.787709497206706</v>
      </c>
      <c r="G57" t="str">
        <f>VLOOKUP('Combined Data'!A:A,Table13[#All],4, FALSE)</f>
        <v>Upper middle income</v>
      </c>
      <c r="H57" t="str">
        <f>VLOOKUP('Combined Data'!A:A,Table13[],3, FALSE)</f>
        <v>Latin America &amp; Caribbean</v>
      </c>
      <c r="I57" t="s">
        <v>28</v>
      </c>
    </row>
    <row r="58" spans="1:9" x14ac:dyDescent="0.3">
      <c r="A58" t="s">
        <v>94</v>
      </c>
      <c r="B58" s="1">
        <v>105.92524239824699</v>
      </c>
      <c r="C58" s="1">
        <v>96.870457045114705</v>
      </c>
      <c r="D58" s="1">
        <v>100.492291150329</v>
      </c>
      <c r="E58" s="1">
        <v>101.644848757662</v>
      </c>
      <c r="F58" s="1">
        <v>101.939084340722</v>
      </c>
      <c r="G58" t="str">
        <f>VLOOKUP('Combined Data'!A:A,Table13[#All],4, FALSE)</f>
        <v>Upper middle income</v>
      </c>
      <c r="H58" t="str">
        <f>VLOOKUP('Combined Data'!A:A,Table13[],3, FALSE)</f>
        <v>Latin America &amp; Caribbean</v>
      </c>
      <c r="I58" t="s">
        <v>29</v>
      </c>
    </row>
    <row r="59" spans="1:9" x14ac:dyDescent="0.3">
      <c r="A59" t="s">
        <v>95</v>
      </c>
      <c r="B59" s="1">
        <v>98.116382378770794</v>
      </c>
      <c r="C59" s="1">
        <v>98.175759728458502</v>
      </c>
      <c r="D59" s="1">
        <v>99.568014160285401</v>
      </c>
      <c r="E59" s="1">
        <v>97.249009723611493</v>
      </c>
      <c r="F59" s="1"/>
      <c r="G59" t="str">
        <f>VLOOKUP('Combined Data'!A:A,Table13[#All],4, FALSE)</f>
        <v>Upper middle income</v>
      </c>
      <c r="H59" t="str">
        <f>VLOOKUP('Combined Data'!A:A,Table13[],3, FALSE)</f>
        <v>Latin America &amp; Caribbean</v>
      </c>
      <c r="I59" t="s">
        <v>27</v>
      </c>
    </row>
    <row r="60" spans="1:9" x14ac:dyDescent="0.3">
      <c r="A60" t="s">
        <v>96</v>
      </c>
      <c r="B60" s="1">
        <v>95.643301216423296</v>
      </c>
      <c r="C60" s="1">
        <v>97.001058350422198</v>
      </c>
      <c r="D60" s="1">
        <v>89.510087034028501</v>
      </c>
      <c r="E60" s="1">
        <v>95.921706939380101</v>
      </c>
      <c r="F60" s="1">
        <v>96.707386302452207</v>
      </c>
      <c r="G60" t="str">
        <f>VLOOKUP('Combined Data'!A:A,Table13[#All],4, FALSE)</f>
        <v>Lower middle income</v>
      </c>
      <c r="H60" t="str">
        <f>VLOOKUP('Combined Data'!A:A,Table13[],3, FALSE)</f>
        <v>Middle East, North Africa, Afghanistan &amp; Pakistan</v>
      </c>
      <c r="I60" t="s">
        <v>28</v>
      </c>
    </row>
    <row r="61" spans="1:9" x14ac:dyDescent="0.3">
      <c r="A61" t="s">
        <v>97</v>
      </c>
      <c r="B61" s="1">
        <v>90.6579425663395</v>
      </c>
      <c r="C61" s="1">
        <v>89.081877405981601</v>
      </c>
      <c r="D61" s="1">
        <v>89.130408950204696</v>
      </c>
      <c r="E61" s="1">
        <v>90.883721346918804</v>
      </c>
      <c r="F61" s="1">
        <v>89.880408258856093</v>
      </c>
      <c r="G61" t="str">
        <f>VLOOKUP('Combined Data'!A:A,Table13[#All],4, FALSE)</f>
        <v>Upper middle income</v>
      </c>
      <c r="H61" t="str">
        <f>VLOOKUP('Combined Data'!A:A,Table13[],3, FALSE)</f>
        <v>Latin America &amp; Caribbean</v>
      </c>
      <c r="I61" t="s">
        <v>29</v>
      </c>
    </row>
    <row r="62" spans="1:9" x14ac:dyDescent="0.3">
      <c r="A62" t="s">
        <v>98</v>
      </c>
      <c r="B62" s="1"/>
      <c r="C62" s="1"/>
      <c r="D62" s="1"/>
      <c r="E62" s="1"/>
      <c r="F62" s="1"/>
      <c r="G62" t="str">
        <f>VLOOKUP('Combined Data'!A:A,Table13[#All],4, FALSE)</f>
        <v>Upper middle income</v>
      </c>
      <c r="H62" t="str">
        <f>VLOOKUP('Combined Data'!A:A,Table13[],3, FALSE)</f>
        <v>Sub-Saharan Africa</v>
      </c>
      <c r="I62" t="s">
        <v>27</v>
      </c>
    </row>
    <row r="63" spans="1:9" x14ac:dyDescent="0.3">
      <c r="A63" t="s">
        <v>99</v>
      </c>
      <c r="B63" s="1"/>
      <c r="C63" s="1"/>
      <c r="D63" s="1">
        <v>89.731246948242202</v>
      </c>
      <c r="E63" s="1"/>
      <c r="F63" s="1"/>
      <c r="G63" t="str">
        <f>VLOOKUP('Combined Data'!A:A,Table13[#All],4, FALSE)</f>
        <v>Low income</v>
      </c>
      <c r="H63" t="str">
        <f>VLOOKUP('Combined Data'!A:A,Table13[],3, FALSE)</f>
        <v>Sub-Saharan Africa</v>
      </c>
      <c r="I63" t="s">
        <v>28</v>
      </c>
    </row>
    <row r="64" spans="1:9" x14ac:dyDescent="0.3">
      <c r="A64" t="s">
        <v>100</v>
      </c>
      <c r="B64" s="1">
        <v>98.346672058105497</v>
      </c>
      <c r="C64" s="1">
        <v>98.814666748046903</v>
      </c>
      <c r="D64" s="1">
        <v>99.263816833496094</v>
      </c>
      <c r="E64" s="1">
        <v>98.338157653808594</v>
      </c>
      <c r="F64" s="1"/>
      <c r="G64" t="str">
        <f>VLOOKUP('Combined Data'!A:A,Table13[#All],4, FALSE)</f>
        <v>High income</v>
      </c>
      <c r="H64" t="str">
        <f>VLOOKUP('Combined Data'!A:A,Table13[],3, FALSE)</f>
        <v>Europe &amp; Central Asia</v>
      </c>
      <c r="I64" t="s">
        <v>29</v>
      </c>
    </row>
    <row r="65" spans="1:9" x14ac:dyDescent="0.3">
      <c r="A65" t="s">
        <v>101</v>
      </c>
      <c r="B65" s="1"/>
      <c r="C65" s="1"/>
      <c r="D65" s="1">
        <v>117.19574076508501</v>
      </c>
      <c r="E65" s="1">
        <v>116.52700259413599</v>
      </c>
      <c r="F65" s="1"/>
      <c r="G65" t="str">
        <f>VLOOKUP('Combined Data'!A:A,Table13[#All],4, FALSE)</f>
        <v>Lower middle income</v>
      </c>
      <c r="H65" t="str">
        <f>VLOOKUP('Combined Data'!A:A,Table13[],3, FALSE)</f>
        <v>Sub-Saharan Africa</v>
      </c>
      <c r="I65" t="s">
        <v>27</v>
      </c>
    </row>
    <row r="66" spans="1:9" x14ac:dyDescent="0.3">
      <c r="A66" t="s">
        <v>102</v>
      </c>
      <c r="B66" s="1">
        <v>112.6701710274</v>
      </c>
      <c r="C66" s="1">
        <v>101.338920969252</v>
      </c>
      <c r="D66" s="1">
        <v>84.631773397134495</v>
      </c>
      <c r="E66" s="1">
        <v>83.731974588161805</v>
      </c>
      <c r="F66" s="1">
        <v>84.416010208298403</v>
      </c>
      <c r="G66" t="str">
        <f>VLOOKUP('Combined Data'!A:A,Table13[#All],4, FALSE)</f>
        <v>Lower middle income</v>
      </c>
      <c r="H66" t="str">
        <f>VLOOKUP('Combined Data'!A:A,Table13[],3, FALSE)</f>
        <v>Sub-Saharan Africa</v>
      </c>
      <c r="I66" t="s">
        <v>28</v>
      </c>
    </row>
    <row r="67" spans="1:9" x14ac:dyDescent="0.3">
      <c r="A67" t="s">
        <v>103</v>
      </c>
      <c r="B67" s="1"/>
      <c r="C67" s="1"/>
      <c r="D67" s="1"/>
      <c r="E67" s="1"/>
      <c r="F67" s="1"/>
      <c r="G67" t="str">
        <f>VLOOKUP('Combined Data'!A:A,Table13[#All],4, FALSE)</f>
        <v>High income</v>
      </c>
      <c r="H67" t="str">
        <f>VLOOKUP('Combined Data'!A:A,Table13[],3, FALSE)</f>
        <v>Europe &amp; Central Asia</v>
      </c>
      <c r="I67" t="s">
        <v>29</v>
      </c>
    </row>
    <row r="68" spans="1:9" x14ac:dyDescent="0.3">
      <c r="A68" t="s">
        <v>104</v>
      </c>
      <c r="B68" s="1">
        <v>112.553329467773</v>
      </c>
      <c r="C68" s="1">
        <v>114.93183377296</v>
      </c>
      <c r="D68" s="1">
        <v>112.260294588848</v>
      </c>
      <c r="E68" s="1">
        <v>111.93660947950001</v>
      </c>
      <c r="F68" s="1">
        <v>110.377230542693</v>
      </c>
      <c r="G68" t="str">
        <f>VLOOKUP('Combined Data'!A:A,Table13[#All],4, FALSE)</f>
        <v>Upper middle income</v>
      </c>
      <c r="H68" t="str">
        <f>VLOOKUP('Combined Data'!A:A,Table13[],3, FALSE)</f>
        <v>East Asia &amp; Pacific</v>
      </c>
      <c r="I68" t="s">
        <v>27</v>
      </c>
    </row>
    <row r="69" spans="1:9" x14ac:dyDescent="0.3">
      <c r="A69" t="s">
        <v>105</v>
      </c>
      <c r="B69" s="1">
        <v>99.817581176757798</v>
      </c>
      <c r="C69" s="1">
        <v>99.353630065917997</v>
      </c>
      <c r="D69" s="1">
        <v>98.6190185546875</v>
      </c>
      <c r="E69" s="1">
        <v>99.115173339843807</v>
      </c>
      <c r="F69" s="1"/>
      <c r="G69" t="str">
        <f>VLOOKUP('Combined Data'!A:A,Table13[#All],4, FALSE)</f>
        <v>High income</v>
      </c>
      <c r="H69" t="str">
        <f>VLOOKUP('Combined Data'!A:A,Table13[],3, FALSE)</f>
        <v>Europe &amp; Central Asia</v>
      </c>
      <c r="I69" t="s">
        <v>28</v>
      </c>
    </row>
    <row r="70" spans="1:9" x14ac:dyDescent="0.3">
      <c r="A70" t="s">
        <v>106</v>
      </c>
      <c r="B70" s="1">
        <v>102.65162658691401</v>
      </c>
      <c r="C70" s="1">
        <v>102.580406188965</v>
      </c>
      <c r="D70" s="1">
        <v>102.70948791503901</v>
      </c>
      <c r="E70" s="1">
        <v>103.26512145996099</v>
      </c>
      <c r="F70" s="1"/>
      <c r="G70" t="str">
        <f>VLOOKUP('Combined Data'!A:A,Table13[#All],4, FALSE)</f>
        <v>High income</v>
      </c>
      <c r="H70" t="str">
        <f>VLOOKUP('Combined Data'!A:A,Table13[],3, FALSE)</f>
        <v>Europe &amp; Central Asia</v>
      </c>
      <c r="I70" t="s">
        <v>29</v>
      </c>
    </row>
    <row r="71" spans="1:9" x14ac:dyDescent="0.3">
      <c r="A71" t="s">
        <v>107</v>
      </c>
      <c r="B71" s="1"/>
      <c r="C71" s="1"/>
      <c r="D71" s="1"/>
      <c r="E71" s="1"/>
      <c r="F71" s="1"/>
      <c r="G71" t="str">
        <f>VLOOKUP('Combined Data'!A:A,Table13[#All],4, FALSE)</f>
        <v>High income</v>
      </c>
      <c r="H71" t="str">
        <f>VLOOKUP('Combined Data'!A:A,Table13[],3, FALSE)</f>
        <v>East Asia &amp; Pacific</v>
      </c>
      <c r="I71" t="s">
        <v>27</v>
      </c>
    </row>
    <row r="72" spans="1:9" x14ac:dyDescent="0.3">
      <c r="A72" t="s">
        <v>108</v>
      </c>
      <c r="B72" s="1"/>
      <c r="C72" s="1"/>
      <c r="D72" s="1"/>
      <c r="E72" s="1"/>
      <c r="F72" s="1"/>
      <c r="G72" t="str">
        <f>VLOOKUP('Combined Data'!A:A,Table13[#All],4, FALSE)</f>
        <v>Upper middle income</v>
      </c>
      <c r="H72" t="str">
        <f>VLOOKUP('Combined Data'!A:A,Table13[],3, FALSE)</f>
        <v>Sub-Saharan Africa</v>
      </c>
      <c r="I72" t="s">
        <v>28</v>
      </c>
    </row>
    <row r="73" spans="1:9" x14ac:dyDescent="0.3">
      <c r="A73" t="s">
        <v>109</v>
      </c>
      <c r="B73" s="1">
        <v>96.882702660067395</v>
      </c>
      <c r="C73" s="1">
        <v>96.323541765170404</v>
      </c>
      <c r="D73" s="1">
        <v>97.278172336260795</v>
      </c>
      <c r="E73" s="1">
        <v>98.735967042877903</v>
      </c>
      <c r="F73" s="1">
        <v>98.605883331927402</v>
      </c>
      <c r="G73" t="str">
        <f>VLOOKUP('Combined Data'!A:A,Table13[#All],4, FALSE)</f>
        <v>Low income</v>
      </c>
      <c r="H73" t="str">
        <f>VLOOKUP('Combined Data'!A:A,Table13[],3, FALSE)</f>
        <v>Sub-Saharan Africa</v>
      </c>
      <c r="I73" t="s">
        <v>29</v>
      </c>
    </row>
    <row r="74" spans="1:9" x14ac:dyDescent="0.3">
      <c r="A74" t="s">
        <v>110</v>
      </c>
      <c r="B74" s="1">
        <v>100.779530049426</v>
      </c>
      <c r="C74" s="1">
        <v>101.286441127535</v>
      </c>
      <c r="D74" s="1">
        <v>102.727831178351</v>
      </c>
      <c r="E74" s="1">
        <v>100.88726086346399</v>
      </c>
      <c r="F74" s="1">
        <v>99.356020683988504</v>
      </c>
      <c r="G74" t="str">
        <f>VLOOKUP('Combined Data'!A:A,Table13[#All],4, FALSE)</f>
        <v>Upper middle income</v>
      </c>
      <c r="H74" t="str">
        <f>VLOOKUP('Combined Data'!A:A,Table13[],3, FALSE)</f>
        <v>Europe &amp; Central Asia</v>
      </c>
      <c r="I74" t="s">
        <v>27</v>
      </c>
    </row>
    <row r="75" spans="1:9" x14ac:dyDescent="0.3">
      <c r="A75" t="s">
        <v>111</v>
      </c>
      <c r="B75" s="1">
        <v>101.996658325195</v>
      </c>
      <c r="C75" s="1">
        <v>101.346549987793</v>
      </c>
      <c r="D75" s="1">
        <v>100.218132019043</v>
      </c>
      <c r="E75" s="1">
        <v>102.19068908691401</v>
      </c>
      <c r="F75" s="1"/>
      <c r="G75" t="str">
        <f>VLOOKUP('Combined Data'!A:A,Table13[#All],4, FALSE)</f>
        <v>High income</v>
      </c>
      <c r="H75" t="str">
        <f>VLOOKUP('Combined Data'!A:A,Table13[],3, FALSE)</f>
        <v>Europe &amp; Central Asia</v>
      </c>
      <c r="I75" t="s">
        <v>28</v>
      </c>
    </row>
    <row r="76" spans="1:9" x14ac:dyDescent="0.3">
      <c r="A76" t="s">
        <v>112</v>
      </c>
      <c r="B76" s="1">
        <v>98.404895272390803</v>
      </c>
      <c r="C76" s="1">
        <v>99.450943657247194</v>
      </c>
      <c r="D76" s="1">
        <v>98.231895324704695</v>
      </c>
      <c r="E76" s="1"/>
      <c r="F76" s="1"/>
      <c r="G76" t="str">
        <f>VLOOKUP('Combined Data'!A:A,Table13[#All],4, FALSE)</f>
        <v>Lower middle income</v>
      </c>
      <c r="H76" t="str">
        <f>VLOOKUP('Combined Data'!A:A,Table13[],3, FALSE)</f>
        <v>Sub-Saharan Africa</v>
      </c>
      <c r="I76" t="s">
        <v>29</v>
      </c>
    </row>
    <row r="77" spans="1:9" x14ac:dyDescent="0.3">
      <c r="A77" t="s">
        <v>113</v>
      </c>
      <c r="B77" s="1">
        <v>108.720271800679</v>
      </c>
      <c r="C77" s="1">
        <v>108.468335787923</v>
      </c>
      <c r="D77" s="1">
        <v>106.327724945135</v>
      </c>
      <c r="E77" s="1">
        <v>103.557022368904</v>
      </c>
      <c r="F77" s="1">
        <v>101.773180642778</v>
      </c>
      <c r="G77" t="str">
        <f>VLOOKUP('Combined Data'!A:A,Table13[#All],4, FALSE)</f>
        <v>High income</v>
      </c>
      <c r="H77" t="str">
        <f>VLOOKUP('Combined Data'!A:A,Table13[],3, FALSE)</f>
        <v>Europe &amp; Central Asia</v>
      </c>
      <c r="I77" t="s">
        <v>27</v>
      </c>
    </row>
    <row r="78" spans="1:9" x14ac:dyDescent="0.3">
      <c r="A78" t="s">
        <v>114</v>
      </c>
      <c r="B78" s="1">
        <v>97.283172607421903</v>
      </c>
      <c r="C78" s="1">
        <v>97.331321716308594</v>
      </c>
      <c r="D78" s="1">
        <v>101.192031860352</v>
      </c>
      <c r="E78" s="1">
        <v>102.020217895508</v>
      </c>
      <c r="F78" s="1"/>
      <c r="G78" t="str">
        <f>VLOOKUP('Combined Data'!A:A,Table13[#All],4, FALSE)</f>
        <v>High income</v>
      </c>
      <c r="H78" t="str">
        <f>VLOOKUP('Combined Data'!A:A,Table13[],3, FALSE)</f>
        <v>Europe &amp; Central Asia</v>
      </c>
      <c r="I78" t="s">
        <v>28</v>
      </c>
    </row>
    <row r="79" spans="1:9" x14ac:dyDescent="0.3">
      <c r="A79" t="s">
        <v>115</v>
      </c>
      <c r="B79" s="1"/>
      <c r="C79" s="1"/>
      <c r="D79" s="1"/>
      <c r="E79" s="1"/>
      <c r="F79" s="1"/>
      <c r="G79" t="str">
        <f>VLOOKUP('Combined Data'!A:A,Table13[#All],4, FALSE)</f>
        <v>High income</v>
      </c>
      <c r="H79" t="str">
        <f>VLOOKUP('Combined Data'!A:A,Table13[],3, FALSE)</f>
        <v>Europe &amp; Central Asia</v>
      </c>
      <c r="I79" t="s">
        <v>29</v>
      </c>
    </row>
    <row r="80" spans="1:9" x14ac:dyDescent="0.3">
      <c r="A80" t="s">
        <v>116</v>
      </c>
      <c r="B80" s="1"/>
      <c r="C80" s="1">
        <v>99.260814783704305</v>
      </c>
      <c r="D80" s="1"/>
      <c r="E80" s="1"/>
      <c r="F80" s="1">
        <v>110.590518436374</v>
      </c>
      <c r="G80" t="str">
        <f>VLOOKUP('Combined Data'!A:A,Table13[#All],4, FALSE)</f>
        <v>Upper middle income</v>
      </c>
      <c r="H80" t="str">
        <f>VLOOKUP('Combined Data'!A:A,Table13[],3, FALSE)</f>
        <v>Latin America &amp; Caribbean</v>
      </c>
      <c r="I80" t="s">
        <v>27</v>
      </c>
    </row>
    <row r="81" spans="1:9" x14ac:dyDescent="0.3">
      <c r="A81" t="s">
        <v>117</v>
      </c>
      <c r="B81" s="1"/>
      <c r="C81" s="1"/>
      <c r="D81" s="1"/>
      <c r="E81" s="1"/>
      <c r="F81" s="1"/>
      <c r="G81" t="str">
        <f>VLOOKUP('Combined Data'!A:A,Table13[#All],4, FALSE)</f>
        <v>High income</v>
      </c>
      <c r="H81" t="str">
        <f>VLOOKUP('Combined Data'!A:A,Table13[],3, FALSE)</f>
        <v>East Asia &amp; Pacific</v>
      </c>
      <c r="I81" t="s">
        <v>28</v>
      </c>
    </row>
    <row r="82" spans="1:9" x14ac:dyDescent="0.3">
      <c r="A82" t="s">
        <v>118</v>
      </c>
      <c r="B82" s="1">
        <v>101.500290013425</v>
      </c>
      <c r="C82" s="1">
        <v>103.02649445279501</v>
      </c>
      <c r="D82" s="1">
        <v>102.998277778394</v>
      </c>
      <c r="E82" s="1">
        <v>102.032228557129</v>
      </c>
      <c r="F82" s="1">
        <v>101.48883125280901</v>
      </c>
      <c r="G82" t="str">
        <f>VLOOKUP('Combined Data'!A:A,Table13[#All],4, FALSE)</f>
        <v>Upper middle income</v>
      </c>
      <c r="H82" t="str">
        <f>VLOOKUP('Combined Data'!A:A,Table13[],3, FALSE)</f>
        <v>Latin America &amp; Caribbean</v>
      </c>
      <c r="I82" t="s">
        <v>29</v>
      </c>
    </row>
    <row r="83" spans="1:9" x14ac:dyDescent="0.3">
      <c r="A83" t="s">
        <v>119</v>
      </c>
      <c r="B83" s="1">
        <v>100.47451782226599</v>
      </c>
      <c r="C83" s="1"/>
      <c r="D83" s="1"/>
      <c r="E83" s="1"/>
      <c r="F83" s="1"/>
      <c r="G83" t="str">
        <f>VLOOKUP('Combined Data'!A:A,Table13[#All],4, FALSE)</f>
        <v>Lower middle income</v>
      </c>
      <c r="H83" t="str">
        <f>VLOOKUP('Combined Data'!A:A,Table13[],3, FALSE)</f>
        <v>Sub-Saharan Africa</v>
      </c>
      <c r="I83" t="s">
        <v>27</v>
      </c>
    </row>
    <row r="84" spans="1:9" x14ac:dyDescent="0.3">
      <c r="A84" t="s">
        <v>120</v>
      </c>
      <c r="B84" s="1"/>
      <c r="C84" s="1"/>
      <c r="D84" s="1"/>
      <c r="E84" s="1"/>
      <c r="F84" s="1"/>
      <c r="G84" t="str">
        <f>VLOOKUP('Combined Data'!A:A,Table13[#All],4, FALSE)</f>
        <v>Low income</v>
      </c>
      <c r="H84" t="str">
        <f>VLOOKUP('Combined Data'!A:A,Table13[],3, FALSE)</f>
        <v>Sub-Saharan Africa</v>
      </c>
      <c r="I84" t="s">
        <v>28</v>
      </c>
    </row>
    <row r="85" spans="1:9" x14ac:dyDescent="0.3">
      <c r="A85" t="s">
        <v>121</v>
      </c>
      <c r="B85" s="1">
        <v>96.356927277187097</v>
      </c>
      <c r="C85" s="1">
        <v>96.397194536729401</v>
      </c>
      <c r="D85" s="1"/>
      <c r="E85" s="1">
        <v>94.446055384105506</v>
      </c>
      <c r="F85" s="1">
        <v>97.553595504461597</v>
      </c>
      <c r="G85" t="str">
        <f>VLOOKUP('Combined Data'!A:A,Table13[#All],4, FALSE)</f>
        <v>High income</v>
      </c>
      <c r="H85" t="str">
        <f>VLOOKUP('Combined Data'!A:A,Table13[],3, FALSE)</f>
        <v>Latin America &amp; Caribbean</v>
      </c>
      <c r="I85" t="s">
        <v>29</v>
      </c>
    </row>
    <row r="86" spans="1:9" x14ac:dyDescent="0.3">
      <c r="A86" t="s">
        <v>122</v>
      </c>
      <c r="B86" s="1"/>
      <c r="C86" s="1"/>
      <c r="D86" s="1"/>
      <c r="E86" s="1"/>
      <c r="F86" s="1"/>
      <c r="G86" t="str">
        <f>VLOOKUP('Combined Data'!A:A,Table13[#All],4, FALSE)</f>
        <v>Lower middle income</v>
      </c>
      <c r="H86" t="str">
        <f>VLOOKUP('Combined Data'!A:A,Table13[],3, FALSE)</f>
        <v>Latin America &amp; Caribbean</v>
      </c>
      <c r="I86" t="s">
        <v>27</v>
      </c>
    </row>
    <row r="87" spans="1:9" x14ac:dyDescent="0.3">
      <c r="A87" t="s">
        <v>123</v>
      </c>
      <c r="B87" s="1">
        <v>83.655299038885502</v>
      </c>
      <c r="C87" s="1">
        <v>80.893361148607198</v>
      </c>
      <c r="D87" s="1">
        <v>82.293717197957704</v>
      </c>
      <c r="E87" s="1">
        <v>82.547882130592697</v>
      </c>
      <c r="F87" s="1">
        <v>78.969084839008303</v>
      </c>
      <c r="G87" t="str">
        <f>VLOOKUP('Combined Data'!A:A,Table13[#All],4, FALSE)</f>
        <v>Lower middle income</v>
      </c>
      <c r="H87" t="str">
        <f>VLOOKUP('Combined Data'!A:A,Table13[],3, FALSE)</f>
        <v>Latin America &amp; Caribbean</v>
      </c>
      <c r="I87" t="s">
        <v>28</v>
      </c>
    </row>
    <row r="88" spans="1:9" x14ac:dyDescent="0.3">
      <c r="A88" t="s">
        <v>124</v>
      </c>
      <c r="B88" s="1">
        <v>105.128762541806</v>
      </c>
      <c r="C88" s="1">
        <v>106.033688453786</v>
      </c>
      <c r="D88" s="1">
        <v>103.028312901343</v>
      </c>
      <c r="E88" s="1"/>
      <c r="F88" s="1">
        <v>103.152955896153</v>
      </c>
      <c r="G88" t="str">
        <f>VLOOKUP('Combined Data'!A:A,Table13[#All],4, FALSE)</f>
        <v>High income</v>
      </c>
      <c r="H88" t="str">
        <f>VLOOKUP('Combined Data'!A:A,Table13[],3, FALSE)</f>
        <v>East Asia &amp; Pacific</v>
      </c>
      <c r="I88" t="s">
        <v>29</v>
      </c>
    </row>
    <row r="89" spans="1:9" x14ac:dyDescent="0.3">
      <c r="A89" t="s">
        <v>125</v>
      </c>
      <c r="B89" s="1">
        <v>97.174942016601605</v>
      </c>
      <c r="C89" s="1">
        <v>101.45842742919901</v>
      </c>
      <c r="D89" s="1">
        <v>103.47647857666</v>
      </c>
      <c r="E89" s="1">
        <v>103.570762634277</v>
      </c>
      <c r="F89" s="1"/>
      <c r="G89" t="str">
        <f>VLOOKUP('Combined Data'!A:A,Table13[#All],4, FALSE)</f>
        <v>High income</v>
      </c>
      <c r="H89" t="str">
        <f>VLOOKUP('Combined Data'!A:A,Table13[],3, FALSE)</f>
        <v>Europe &amp; Central Asia</v>
      </c>
      <c r="I89" t="s">
        <v>27</v>
      </c>
    </row>
    <row r="90" spans="1:9" x14ac:dyDescent="0.3">
      <c r="A90" t="s">
        <v>126</v>
      </c>
      <c r="B90" s="1">
        <v>98.556121826171903</v>
      </c>
      <c r="C90" s="1">
        <v>98.567291259765597</v>
      </c>
      <c r="D90" s="1">
        <v>98.511642456054702</v>
      </c>
      <c r="E90" s="1">
        <v>98.221832275390597</v>
      </c>
      <c r="F90" s="1"/>
      <c r="G90" t="str">
        <f>VLOOKUP('Combined Data'!A:A,Table13[#All],4, FALSE)</f>
        <v>High income</v>
      </c>
      <c r="H90" t="str">
        <f>VLOOKUP('Combined Data'!A:A,Table13[],3, FALSE)</f>
        <v>Europe &amp; Central Asia</v>
      </c>
      <c r="I90" t="s">
        <v>28</v>
      </c>
    </row>
    <row r="91" spans="1:9" x14ac:dyDescent="0.3">
      <c r="A91" t="s">
        <v>127</v>
      </c>
      <c r="B91" s="1">
        <v>102.041421630559</v>
      </c>
      <c r="C91" s="1">
        <v>103.202010704334</v>
      </c>
      <c r="D91" s="1">
        <v>112.073964742492</v>
      </c>
      <c r="E91" s="1">
        <v>113.164575709104</v>
      </c>
      <c r="F91" s="1">
        <v>120.52036856505499</v>
      </c>
      <c r="G91" t="str">
        <f>VLOOKUP('Combined Data'!A:A,Table13[#All],4, FALSE)</f>
        <v>Lower middle income</v>
      </c>
      <c r="H91" t="str">
        <f>VLOOKUP('Combined Data'!A:A,Table13[],3, FALSE)</f>
        <v>South Asia</v>
      </c>
      <c r="I91" t="s">
        <v>29</v>
      </c>
    </row>
    <row r="92" spans="1:9" x14ac:dyDescent="0.3">
      <c r="A92" t="s">
        <v>128</v>
      </c>
      <c r="B92" s="1">
        <v>100.951933675872</v>
      </c>
      <c r="C92" s="1">
        <v>100.309665446849</v>
      </c>
      <c r="D92" s="1">
        <v>98.700873046361096</v>
      </c>
      <c r="E92" s="1">
        <v>98.156627572690397</v>
      </c>
      <c r="F92" s="1">
        <v>100.036318150714</v>
      </c>
      <c r="G92" t="str">
        <f>VLOOKUP('Combined Data'!A:A,Table13[#All],4, FALSE)</f>
        <v>Upper middle income</v>
      </c>
      <c r="H92" t="str">
        <f>VLOOKUP('Combined Data'!A:A,Table13[],3, FALSE)</f>
        <v>East Asia &amp; Pacific</v>
      </c>
      <c r="I92" t="s">
        <v>27</v>
      </c>
    </row>
    <row r="93" spans="1:9" x14ac:dyDescent="0.3">
      <c r="A93" t="s">
        <v>129</v>
      </c>
      <c r="B93" s="1">
        <v>104.680130004883</v>
      </c>
      <c r="C93" s="1"/>
      <c r="D93" s="1"/>
      <c r="E93" s="1"/>
      <c r="F93" s="1"/>
      <c r="G93" t="str">
        <f>VLOOKUP('Combined Data'!A:A,Table13[#All],4, FALSE)</f>
        <v>Upper middle income</v>
      </c>
      <c r="H93" t="str">
        <f>VLOOKUP('Combined Data'!A:A,Table13[],3, FALSE)</f>
        <v>Middle East, North Africa, Afghanistan &amp; Pakistan</v>
      </c>
      <c r="I93" t="s">
        <v>28</v>
      </c>
    </row>
    <row r="94" spans="1:9" x14ac:dyDescent="0.3">
      <c r="A94" t="s">
        <v>130</v>
      </c>
      <c r="B94" s="1"/>
      <c r="C94" s="1"/>
      <c r="D94" s="1"/>
      <c r="E94" s="1"/>
      <c r="F94" s="1"/>
      <c r="G94" t="str">
        <f>VLOOKUP('Combined Data'!A:A,Table13[#All],4, FALSE)</f>
        <v>Upper middle income</v>
      </c>
      <c r="H94" t="str">
        <f>VLOOKUP('Combined Data'!A:A,Table13[],3, FALSE)</f>
        <v>Middle East, North Africa, Afghanistan &amp; Pakistan</v>
      </c>
      <c r="I94" t="s">
        <v>29</v>
      </c>
    </row>
    <row r="95" spans="1:9" x14ac:dyDescent="0.3">
      <c r="A95" t="s">
        <v>131</v>
      </c>
      <c r="B95" s="1">
        <v>101.368812561035</v>
      </c>
      <c r="C95" s="1">
        <v>99.983848571777301</v>
      </c>
      <c r="D95" s="1">
        <v>99.619941711425795</v>
      </c>
      <c r="E95" s="1"/>
      <c r="F95" s="1"/>
      <c r="G95" t="str">
        <f>VLOOKUP('Combined Data'!A:A,Table13[#All],4, FALSE)</f>
        <v>High income</v>
      </c>
      <c r="H95" t="str">
        <f>VLOOKUP('Combined Data'!A:A,Table13[],3, FALSE)</f>
        <v>Europe &amp; Central Asia</v>
      </c>
      <c r="I95" t="s">
        <v>27</v>
      </c>
    </row>
    <row r="96" spans="1:9" x14ac:dyDescent="0.3">
      <c r="A96" t="s">
        <v>132</v>
      </c>
      <c r="B96" s="1"/>
      <c r="C96" s="1"/>
      <c r="D96" s="1"/>
      <c r="E96" s="1"/>
      <c r="F96" s="1"/>
      <c r="G96" t="str">
        <f>VLOOKUP('Combined Data'!A:A,Table13[#All],4, FALSE)</f>
        <v>High income</v>
      </c>
      <c r="H96" t="str">
        <f>VLOOKUP('Combined Data'!A:A,Table13[],3, FALSE)</f>
        <v>Europe &amp; Central Asia</v>
      </c>
      <c r="I96" t="s">
        <v>28</v>
      </c>
    </row>
    <row r="97" spans="1:9" x14ac:dyDescent="0.3">
      <c r="A97" t="s">
        <v>133</v>
      </c>
      <c r="B97" s="1">
        <v>96.374763488769503</v>
      </c>
      <c r="C97" s="1">
        <v>96.248977661132798</v>
      </c>
      <c r="D97" s="1">
        <v>96.312568664550795</v>
      </c>
      <c r="E97" s="1">
        <v>96.485382080078097</v>
      </c>
      <c r="F97" s="1"/>
      <c r="G97" t="str">
        <f>VLOOKUP('Combined Data'!A:A,Table13[#All],4, FALSE)</f>
        <v>High income</v>
      </c>
      <c r="H97" t="str">
        <f>VLOOKUP('Combined Data'!A:A,Table13[],3, FALSE)</f>
        <v>Middle East, North Africa, Afghanistan &amp; Pakistan</v>
      </c>
      <c r="I97" t="s">
        <v>29</v>
      </c>
    </row>
    <row r="98" spans="1:9" x14ac:dyDescent="0.3">
      <c r="A98" t="s">
        <v>134</v>
      </c>
      <c r="B98" s="1">
        <v>102.636672973633</v>
      </c>
      <c r="C98" s="1">
        <v>101.089881896973</v>
      </c>
      <c r="D98" s="1">
        <v>101.56453704834</v>
      </c>
      <c r="E98" s="1">
        <v>103.56601715087901</v>
      </c>
      <c r="F98" s="1"/>
      <c r="G98" t="str">
        <f>VLOOKUP('Combined Data'!A:A,Table13[#All],4, FALSE)</f>
        <v>High income</v>
      </c>
      <c r="H98" t="str">
        <f>VLOOKUP('Combined Data'!A:A,Table13[],3, FALSE)</f>
        <v>Europe &amp; Central Asia</v>
      </c>
      <c r="I98" t="s">
        <v>27</v>
      </c>
    </row>
    <row r="99" spans="1:9" x14ac:dyDescent="0.3">
      <c r="A99" t="s">
        <v>135</v>
      </c>
      <c r="B99" s="1">
        <v>90.949440002441406</v>
      </c>
      <c r="C99" s="1">
        <v>92.376122628706099</v>
      </c>
      <c r="D99" s="1">
        <v>93.268183428768907</v>
      </c>
      <c r="E99" s="1">
        <v>87.737545171787602</v>
      </c>
      <c r="F99" s="1"/>
      <c r="G99" t="str">
        <f>VLOOKUP('Combined Data'!A:A,Table13[#All],4, FALSE)</f>
        <v>Upper middle income</v>
      </c>
      <c r="H99" t="str">
        <f>VLOOKUP('Combined Data'!A:A,Table13[],3, FALSE)</f>
        <v>Latin America &amp; Caribbean</v>
      </c>
      <c r="I99" t="s">
        <v>28</v>
      </c>
    </row>
    <row r="100" spans="1:9" x14ac:dyDescent="0.3">
      <c r="A100" t="s">
        <v>136</v>
      </c>
      <c r="B100" s="1">
        <v>102.73683166503901</v>
      </c>
      <c r="C100" s="1">
        <v>102.21832275390599</v>
      </c>
      <c r="D100" s="1">
        <v>102.15870666503901</v>
      </c>
      <c r="E100" s="1">
        <v>102.496421813965</v>
      </c>
      <c r="F100" s="1"/>
      <c r="G100" t="str">
        <f>VLOOKUP('Combined Data'!A:A,Table13[#All],4, FALSE)</f>
        <v>High income</v>
      </c>
      <c r="H100" t="str">
        <f>VLOOKUP('Combined Data'!A:A,Table13[],3, FALSE)</f>
        <v>East Asia &amp; Pacific</v>
      </c>
      <c r="I100" t="s">
        <v>29</v>
      </c>
    </row>
    <row r="101" spans="1:9" x14ac:dyDescent="0.3">
      <c r="A101" t="s">
        <v>137</v>
      </c>
      <c r="B101" s="1">
        <v>98.960533668867996</v>
      </c>
      <c r="C101" s="1">
        <v>98.001749636373404</v>
      </c>
      <c r="D101" s="1">
        <v>98.541267066326</v>
      </c>
      <c r="E101" s="1">
        <v>98.299487329094902</v>
      </c>
      <c r="F101" s="1">
        <v>98.551624706923803</v>
      </c>
      <c r="G101" t="str">
        <f>VLOOKUP('Combined Data'!A:A,Table13[#All],4, FALSE)</f>
        <v>Lower middle income</v>
      </c>
      <c r="H101" t="str">
        <f>VLOOKUP('Combined Data'!A:A,Table13[],3, FALSE)</f>
        <v>Middle East, North Africa, Afghanistan &amp; Pakistan</v>
      </c>
      <c r="I101" t="s">
        <v>27</v>
      </c>
    </row>
    <row r="102" spans="1:9" x14ac:dyDescent="0.3">
      <c r="A102" t="s">
        <v>138</v>
      </c>
      <c r="B102" s="1">
        <v>98.958859277591301</v>
      </c>
      <c r="C102" s="1">
        <v>98.273388617364503</v>
      </c>
      <c r="D102" s="1">
        <v>99.223902183156994</v>
      </c>
      <c r="E102" s="1">
        <v>98.980449387313499</v>
      </c>
      <c r="F102" s="1">
        <v>97.536851600588605</v>
      </c>
      <c r="G102" t="str">
        <f>VLOOKUP('Combined Data'!A:A,Table13[#All],4, FALSE)</f>
        <v>Upper middle income</v>
      </c>
      <c r="H102" t="str">
        <f>VLOOKUP('Combined Data'!A:A,Table13[],3, FALSE)</f>
        <v>Europe &amp; Central Asia</v>
      </c>
      <c r="I102" t="s">
        <v>28</v>
      </c>
    </row>
    <row r="103" spans="1:9" x14ac:dyDescent="0.3">
      <c r="A103" t="s">
        <v>139</v>
      </c>
      <c r="B103" s="1">
        <v>91.954248602066798</v>
      </c>
      <c r="C103" s="1">
        <v>93.7669067632864</v>
      </c>
      <c r="D103" s="1">
        <v>98.551967362000994</v>
      </c>
      <c r="E103" s="1">
        <v>98.248347580686101</v>
      </c>
      <c r="F103" s="1"/>
      <c r="G103" t="str">
        <f>VLOOKUP('Combined Data'!A:A,Table13[#All],4, FALSE)</f>
        <v>Lower middle income</v>
      </c>
      <c r="H103" t="str">
        <f>VLOOKUP('Combined Data'!A:A,Table13[],3, FALSE)</f>
        <v>Sub-Saharan Africa</v>
      </c>
      <c r="I103" t="s">
        <v>29</v>
      </c>
    </row>
    <row r="104" spans="1:9" x14ac:dyDescent="0.3">
      <c r="A104" t="s">
        <v>140</v>
      </c>
      <c r="B104" s="1">
        <v>105.717202654416</v>
      </c>
      <c r="C104" s="1">
        <v>103.688433251616</v>
      </c>
      <c r="D104" s="1">
        <v>102.156527494347</v>
      </c>
      <c r="E104" s="1">
        <v>97.365538394128606</v>
      </c>
      <c r="F104" s="1">
        <v>95.268500327439398</v>
      </c>
      <c r="G104" t="str">
        <f>VLOOKUP('Combined Data'!A:A,Table13[#All],4, FALSE)</f>
        <v>Lower middle income</v>
      </c>
      <c r="H104" t="str">
        <f>VLOOKUP('Combined Data'!A:A,Table13[],3, FALSE)</f>
        <v>East Asia &amp; Pacific</v>
      </c>
      <c r="I104" t="s">
        <v>27</v>
      </c>
    </row>
    <row r="105" spans="1:9" x14ac:dyDescent="0.3">
      <c r="A105" t="s">
        <v>141</v>
      </c>
      <c r="B105" s="1"/>
      <c r="C105" s="1"/>
      <c r="D105" s="1"/>
      <c r="E105" s="1"/>
      <c r="F105" s="1"/>
      <c r="G105" t="str">
        <f>VLOOKUP('Combined Data'!A:A,Table13[#All],4, FALSE)</f>
        <v>Low income</v>
      </c>
      <c r="H105" t="str">
        <f>VLOOKUP('Combined Data'!A:A,Table13[],3, FALSE)</f>
        <v>East Asia &amp; Pacific</v>
      </c>
      <c r="I105" t="s">
        <v>28</v>
      </c>
    </row>
    <row r="106" spans="1:9" x14ac:dyDescent="0.3">
      <c r="A106" t="s">
        <v>142</v>
      </c>
      <c r="B106" s="1">
        <v>99.217903137207003</v>
      </c>
      <c r="C106" s="1">
        <v>98.607933044433594</v>
      </c>
      <c r="D106" s="1">
        <v>99.005020141601605</v>
      </c>
      <c r="E106" s="1">
        <v>100.301467895508</v>
      </c>
      <c r="F106" s="1"/>
      <c r="G106" t="str">
        <f>VLOOKUP('Combined Data'!A:A,Table13[#All],4, FALSE)</f>
        <v>High income</v>
      </c>
      <c r="H106" t="str">
        <f>VLOOKUP('Combined Data'!A:A,Table13[],3, FALSE)</f>
        <v>East Asia &amp; Pacific</v>
      </c>
      <c r="I106" t="s">
        <v>29</v>
      </c>
    </row>
    <row r="107" spans="1:9" x14ac:dyDescent="0.3">
      <c r="A107" t="s">
        <v>143</v>
      </c>
      <c r="B107" s="1"/>
      <c r="C107" s="1"/>
      <c r="D107" s="1"/>
      <c r="E107" s="1"/>
      <c r="F107" s="1"/>
      <c r="G107" t="str">
        <f>VLOOKUP('Combined Data'!A:A,Table13[#All],4, FALSE)</f>
        <v>Upper middle income</v>
      </c>
      <c r="H107" t="str">
        <f>VLOOKUP('Combined Data'!A:A,Table13[],3, FALSE)</f>
        <v>Europe &amp; Central Asia</v>
      </c>
      <c r="I107" t="s">
        <v>27</v>
      </c>
    </row>
    <row r="108" spans="1:9" x14ac:dyDescent="0.3">
      <c r="A108" t="s">
        <v>144</v>
      </c>
      <c r="B108" s="1">
        <v>81.386793864242406</v>
      </c>
      <c r="C108" s="1">
        <v>82.363412679180598</v>
      </c>
      <c r="D108" s="1"/>
      <c r="E108" s="1"/>
      <c r="F108" s="1"/>
      <c r="G108" t="str">
        <f>VLOOKUP('Combined Data'!A:A,Table13[#All],4, FALSE)</f>
        <v>High income</v>
      </c>
      <c r="H108" t="str">
        <f>VLOOKUP('Combined Data'!A:A,Table13[],3, FALSE)</f>
        <v>Middle East, North Africa, Afghanistan &amp; Pakistan</v>
      </c>
      <c r="I108" t="s">
        <v>28</v>
      </c>
    </row>
    <row r="109" spans="1:9" x14ac:dyDescent="0.3">
      <c r="A109" t="s">
        <v>145</v>
      </c>
      <c r="B109" s="1">
        <v>96.210335479613704</v>
      </c>
      <c r="C109" s="1">
        <v>96.374376634611806</v>
      </c>
      <c r="D109" s="1">
        <v>96.744287506135095</v>
      </c>
      <c r="E109" s="1">
        <v>98.096336052391905</v>
      </c>
      <c r="F109" s="1">
        <v>98.594956539718595</v>
      </c>
      <c r="G109" t="str">
        <f>VLOOKUP('Combined Data'!A:A,Table13[#All],4, FALSE)</f>
        <v>Lower middle income</v>
      </c>
      <c r="H109" t="str">
        <f>VLOOKUP('Combined Data'!A:A,Table13[],3, FALSE)</f>
        <v>Europe &amp; Central Asia</v>
      </c>
      <c r="I109" t="s">
        <v>29</v>
      </c>
    </row>
    <row r="110" spans="1:9" x14ac:dyDescent="0.3">
      <c r="A110" t="s">
        <v>146</v>
      </c>
      <c r="B110" s="1">
        <v>100.27766790602</v>
      </c>
      <c r="C110" s="1">
        <v>99.110199480982502</v>
      </c>
      <c r="D110" s="1">
        <v>95.698849502487604</v>
      </c>
      <c r="E110" s="1">
        <v>95.038253493921601</v>
      </c>
      <c r="F110" s="1">
        <v>93.851401904713597</v>
      </c>
      <c r="G110" t="str">
        <f>VLOOKUP('Combined Data'!A:A,Table13[#All],4, FALSE)</f>
        <v>Lower middle income</v>
      </c>
      <c r="H110" t="str">
        <f>VLOOKUP('Combined Data'!A:A,Table13[],3, FALSE)</f>
        <v>East Asia &amp; Pacific</v>
      </c>
      <c r="I110" t="s">
        <v>27</v>
      </c>
    </row>
    <row r="111" spans="1:9" x14ac:dyDescent="0.3">
      <c r="A111" t="s">
        <v>147</v>
      </c>
      <c r="B111" s="1">
        <v>99.832847595214801</v>
      </c>
      <c r="C111" s="1">
        <v>99.740768432617202</v>
      </c>
      <c r="D111" s="1">
        <v>99.41796875</v>
      </c>
      <c r="E111" s="1">
        <v>98.466636657714801</v>
      </c>
      <c r="F111" s="1"/>
      <c r="G111" t="str">
        <f>VLOOKUP('Combined Data'!A:A,Table13[#All],4, FALSE)</f>
        <v>High income</v>
      </c>
      <c r="H111" t="str">
        <f>VLOOKUP('Combined Data'!A:A,Table13[],3, FALSE)</f>
        <v>Europe &amp; Central Asia</v>
      </c>
      <c r="I111" t="s">
        <v>28</v>
      </c>
    </row>
    <row r="112" spans="1:9" x14ac:dyDescent="0.3">
      <c r="A112" t="s">
        <v>148</v>
      </c>
      <c r="B112" s="1">
        <v>76.101696162478405</v>
      </c>
      <c r="C112" s="1">
        <v>74.729221765468196</v>
      </c>
      <c r="D112" s="1">
        <v>76.454123319365095</v>
      </c>
      <c r="E112" s="1">
        <v>78.202687419617604</v>
      </c>
      <c r="F112" s="1">
        <v>81.769112409349802</v>
      </c>
      <c r="G112" t="str">
        <f>VLOOKUP('Combined Data'!A:A,Table13[#All],4, FALSE)</f>
        <v>Lower middle income</v>
      </c>
      <c r="H112" t="str">
        <f>VLOOKUP('Combined Data'!A:A,Table13[],3, FALSE)</f>
        <v>Middle East, North Africa, Afghanistan &amp; Pakistan</v>
      </c>
      <c r="I112" t="s">
        <v>29</v>
      </c>
    </row>
    <row r="113" spans="1:9" x14ac:dyDescent="0.3">
      <c r="A113" t="s">
        <v>149</v>
      </c>
      <c r="B113" s="1">
        <v>87.744735869966703</v>
      </c>
      <c r="C113" s="1">
        <v>85.036618601123905</v>
      </c>
      <c r="D113" s="1">
        <v>83.634302243955702</v>
      </c>
      <c r="E113" s="1">
        <v>81.641223970735197</v>
      </c>
      <c r="F113" s="1">
        <v>80.1830208282055</v>
      </c>
      <c r="G113" t="str">
        <f>VLOOKUP('Combined Data'!A:A,Table13[#All],4, FALSE)</f>
        <v>Lower middle income</v>
      </c>
      <c r="H113" t="str">
        <f>VLOOKUP('Combined Data'!A:A,Table13[],3, FALSE)</f>
        <v>Sub-Saharan Africa</v>
      </c>
      <c r="I113" t="s">
        <v>27</v>
      </c>
    </row>
    <row r="114" spans="1:9" x14ac:dyDescent="0.3">
      <c r="A114" t="s">
        <v>150</v>
      </c>
      <c r="B114" s="1">
        <v>72.422827880186503</v>
      </c>
      <c r="C114" s="1">
        <v>67.462715078107294</v>
      </c>
      <c r="D114" s="1">
        <v>66.593925509470594</v>
      </c>
      <c r="E114" s="1"/>
      <c r="F114" s="1"/>
      <c r="G114" t="str">
        <f>VLOOKUP('Combined Data'!A:A,Table13[#All],4, FALSE)</f>
        <v>Low income</v>
      </c>
      <c r="H114" t="str">
        <f>VLOOKUP('Combined Data'!A:A,Table13[],3, FALSE)</f>
        <v>Sub-Saharan Africa</v>
      </c>
      <c r="I114" t="s">
        <v>28</v>
      </c>
    </row>
    <row r="115" spans="1:9" x14ac:dyDescent="0.3">
      <c r="A115" t="s">
        <v>151</v>
      </c>
      <c r="B115" s="1"/>
      <c r="C115" s="1"/>
      <c r="D115" s="1"/>
      <c r="E115" s="1"/>
      <c r="F115" s="1"/>
      <c r="G115" t="str">
        <f>VLOOKUP('Combined Data'!A:A,Table13[#All],4, FALSE)</f>
        <v>Upper middle income</v>
      </c>
      <c r="H115" t="str">
        <f>VLOOKUP('Combined Data'!A:A,Table13[],3, FALSE)</f>
        <v>Middle East, North Africa, Afghanistan &amp; Pakistan</v>
      </c>
      <c r="I115" t="s">
        <v>29</v>
      </c>
    </row>
    <row r="116" spans="1:9" x14ac:dyDescent="0.3">
      <c r="A116" t="s">
        <v>152</v>
      </c>
      <c r="B116" s="1">
        <v>102.913627624512</v>
      </c>
      <c r="C116" s="1">
        <v>102.110137939453</v>
      </c>
      <c r="D116" s="1"/>
      <c r="E116" s="1"/>
      <c r="F116" s="1"/>
      <c r="G116" t="str">
        <f>VLOOKUP('Combined Data'!A:A,Table13[#All],4, FALSE)</f>
        <v>High income</v>
      </c>
      <c r="H116" t="str">
        <f>VLOOKUP('Combined Data'!A:A,Table13[],3, FALSE)</f>
        <v>Europe &amp; Central Asia</v>
      </c>
      <c r="I116" t="s">
        <v>27</v>
      </c>
    </row>
    <row r="117" spans="1:9" x14ac:dyDescent="0.3">
      <c r="A117" t="s">
        <v>153</v>
      </c>
      <c r="B117" s="1">
        <v>103.46824645996099</v>
      </c>
      <c r="C117" s="1">
        <v>101.152992248535</v>
      </c>
      <c r="D117" s="1">
        <v>101.90583038330099</v>
      </c>
      <c r="E117" s="1">
        <v>102.67994689941401</v>
      </c>
      <c r="F117" s="1"/>
      <c r="G117" t="str">
        <f>VLOOKUP('Combined Data'!A:A,Table13[#All],4, FALSE)</f>
        <v>High income</v>
      </c>
      <c r="H117" t="str">
        <f>VLOOKUP('Combined Data'!A:A,Table13[],3, FALSE)</f>
        <v>Europe &amp; Central Asia</v>
      </c>
      <c r="I117" t="s">
        <v>28</v>
      </c>
    </row>
    <row r="118" spans="1:9" x14ac:dyDescent="0.3">
      <c r="A118" t="s">
        <v>154</v>
      </c>
      <c r="B118" s="1">
        <v>98.644248962402301</v>
      </c>
      <c r="C118" s="1">
        <v>98.475837707519503</v>
      </c>
      <c r="D118" s="1">
        <v>99.484260559082003</v>
      </c>
      <c r="E118" s="1">
        <v>99.064460754394503</v>
      </c>
      <c r="F118" s="1"/>
      <c r="G118" t="str">
        <f>VLOOKUP('Combined Data'!A:A,Table13[#All],4, FALSE)</f>
        <v>High income</v>
      </c>
      <c r="H118" t="str">
        <f>VLOOKUP('Combined Data'!A:A,Table13[],3, FALSE)</f>
        <v>Europe &amp; Central Asia</v>
      </c>
      <c r="I118" t="s">
        <v>29</v>
      </c>
    </row>
    <row r="119" spans="1:9" x14ac:dyDescent="0.3">
      <c r="A119" t="s">
        <v>155</v>
      </c>
      <c r="B119" s="1">
        <v>92.789617486338798</v>
      </c>
      <c r="C119" s="1">
        <v>89.070351758794004</v>
      </c>
      <c r="D119" s="1">
        <v>84.967667436489606</v>
      </c>
      <c r="E119" s="1">
        <v>86.424657534246606</v>
      </c>
      <c r="F119" s="1">
        <v>89.810304449648697</v>
      </c>
      <c r="G119" t="str">
        <f>VLOOKUP('Combined Data'!A:A,Table13[#All],4, FALSE)</f>
        <v>High income</v>
      </c>
      <c r="H119" t="str">
        <f>VLOOKUP('Combined Data'!A:A,Table13[],3, FALSE)</f>
        <v>East Asia &amp; Pacific</v>
      </c>
      <c r="I119" t="s">
        <v>27</v>
      </c>
    </row>
    <row r="120" spans="1:9" x14ac:dyDescent="0.3">
      <c r="A120" t="s">
        <v>156</v>
      </c>
      <c r="B120" s="1">
        <v>126.585803806645</v>
      </c>
      <c r="C120" s="1">
        <v>140.26566251080001</v>
      </c>
      <c r="D120" s="1">
        <v>132.887817840118</v>
      </c>
      <c r="E120" s="1">
        <v>130.59903964252101</v>
      </c>
      <c r="F120" s="1">
        <v>132.73958355273001</v>
      </c>
      <c r="G120" t="str">
        <f>VLOOKUP('Combined Data'!A:A,Table13[#All],4, FALSE)</f>
        <v>Low income</v>
      </c>
      <c r="H120" t="str">
        <f>VLOOKUP('Combined Data'!A:A,Table13[],3, FALSE)</f>
        <v>Sub-Saharan Africa</v>
      </c>
      <c r="I120" t="s">
        <v>28</v>
      </c>
    </row>
    <row r="121" spans="1:9" x14ac:dyDescent="0.3">
      <c r="A121" t="s">
        <v>157</v>
      </c>
      <c r="B121" s="1">
        <v>136.43618677974999</v>
      </c>
      <c r="C121" s="1">
        <v>127.042360318779</v>
      </c>
      <c r="D121" s="1">
        <v>126.58775896295499</v>
      </c>
      <c r="E121" s="1">
        <v>135.97444078182201</v>
      </c>
      <c r="F121" s="1">
        <v>139.016258677384</v>
      </c>
      <c r="G121" t="str">
        <f>VLOOKUP('Combined Data'!A:A,Table13[#All],4, FALSE)</f>
        <v>Low income</v>
      </c>
      <c r="H121" t="str">
        <f>VLOOKUP('Combined Data'!A:A,Table13[],3, FALSE)</f>
        <v>Sub-Saharan Africa</v>
      </c>
      <c r="I121" t="s">
        <v>29</v>
      </c>
    </row>
    <row r="122" spans="1:9" x14ac:dyDescent="0.3">
      <c r="A122" t="s">
        <v>158</v>
      </c>
      <c r="B122" s="1">
        <v>93.180012935104699</v>
      </c>
      <c r="C122" s="1">
        <v>92.576988192700398</v>
      </c>
      <c r="D122" s="1">
        <v>89.787263097895803</v>
      </c>
      <c r="E122" s="1">
        <v>91.502110668507598</v>
      </c>
      <c r="F122" s="1">
        <v>90.359558696531707</v>
      </c>
      <c r="G122" t="str">
        <f>VLOOKUP('Combined Data'!A:A,Table13[#All],4, FALSE)</f>
        <v>Upper middle income</v>
      </c>
      <c r="H122" t="str">
        <f>VLOOKUP('Combined Data'!A:A,Table13[],3, FALSE)</f>
        <v>East Asia &amp; Pacific</v>
      </c>
      <c r="I122" t="s">
        <v>27</v>
      </c>
    </row>
    <row r="123" spans="1:9" x14ac:dyDescent="0.3">
      <c r="A123" t="s">
        <v>159</v>
      </c>
      <c r="B123" s="1">
        <v>97.178445296775905</v>
      </c>
      <c r="C123" s="1"/>
      <c r="D123" s="1">
        <v>96.014742650228499</v>
      </c>
      <c r="E123" s="1">
        <v>100.477973568282</v>
      </c>
      <c r="F123" s="1">
        <v>99.7145381635289</v>
      </c>
      <c r="G123" t="str">
        <f>VLOOKUP('Combined Data'!A:A,Table13[#All],4, FALSE)</f>
        <v>Upper middle income</v>
      </c>
      <c r="H123" t="str">
        <f>VLOOKUP('Combined Data'!A:A,Table13[],3, FALSE)</f>
        <v>South Asia</v>
      </c>
      <c r="I123" t="s">
        <v>28</v>
      </c>
    </row>
    <row r="124" spans="1:9" x14ac:dyDescent="0.3">
      <c r="A124" t="s">
        <v>160</v>
      </c>
      <c r="B124" s="1"/>
      <c r="C124" s="1"/>
      <c r="D124" s="1"/>
      <c r="E124" s="1">
        <v>72.7972336510107</v>
      </c>
      <c r="F124" s="1"/>
      <c r="G124" t="str">
        <f>VLOOKUP('Combined Data'!A:A,Table13[#All],4, FALSE)</f>
        <v>Low income</v>
      </c>
      <c r="H124" t="str">
        <f>VLOOKUP('Combined Data'!A:A,Table13[],3, FALSE)</f>
        <v>Sub-Saharan Africa</v>
      </c>
      <c r="I124" t="s">
        <v>29</v>
      </c>
    </row>
    <row r="125" spans="1:9" x14ac:dyDescent="0.3">
      <c r="A125" t="s">
        <v>161</v>
      </c>
      <c r="B125" s="1">
        <v>96.802490234375</v>
      </c>
      <c r="C125" s="1">
        <v>95.413658142089801</v>
      </c>
      <c r="D125" s="1">
        <v>93.534660339355497</v>
      </c>
      <c r="E125" s="1">
        <v>97.707839965820298</v>
      </c>
      <c r="F125" s="1"/>
      <c r="G125" t="str">
        <f>VLOOKUP('Combined Data'!A:A,Table13[#All],4, FALSE)</f>
        <v>High income</v>
      </c>
      <c r="H125" t="str">
        <f>VLOOKUP('Combined Data'!A:A,Table13[],3, FALSE)</f>
        <v>Middle East, North Africa, Afghanistan &amp; Pakistan</v>
      </c>
      <c r="I125" t="s">
        <v>27</v>
      </c>
    </row>
    <row r="126" spans="1:9" x14ac:dyDescent="0.3">
      <c r="A126" t="s">
        <v>162</v>
      </c>
      <c r="B126" s="1">
        <v>108.448888114364</v>
      </c>
      <c r="C126" s="1">
        <v>111.781011494743</v>
      </c>
      <c r="D126" s="1">
        <v>108.975506359207</v>
      </c>
      <c r="E126" s="1">
        <v>107.109965783596</v>
      </c>
      <c r="F126" s="1">
        <v>101.801288405129</v>
      </c>
      <c r="G126" t="str">
        <f>VLOOKUP('Combined Data'!A:A,Table13[#All],4, FALSE)</f>
        <v>Upper middle income</v>
      </c>
      <c r="H126" t="str">
        <f>VLOOKUP('Combined Data'!A:A,Table13[],3, FALSE)</f>
        <v>East Asia &amp; Pacific</v>
      </c>
      <c r="I126" t="s">
        <v>28</v>
      </c>
    </row>
    <row r="127" spans="1:9" x14ac:dyDescent="0.3">
      <c r="A127" t="s">
        <v>163</v>
      </c>
      <c r="B127" s="1">
        <v>93.804466478078595</v>
      </c>
      <c r="C127" s="1"/>
      <c r="D127" s="1"/>
      <c r="E127" s="1">
        <v>104.015072968957</v>
      </c>
      <c r="F127" s="1">
        <v>105.434763333022</v>
      </c>
      <c r="G127" t="str">
        <f>VLOOKUP('Combined Data'!A:A,Table13[#All],4, FALSE)</f>
        <v>Lower middle income</v>
      </c>
      <c r="H127" t="str">
        <f>VLOOKUP('Combined Data'!A:A,Table13[],3, FALSE)</f>
        <v>Sub-Saharan Africa</v>
      </c>
      <c r="I127" t="s">
        <v>29</v>
      </c>
    </row>
    <row r="128" spans="1:9" x14ac:dyDescent="0.3">
      <c r="A128" t="s">
        <v>164</v>
      </c>
      <c r="B128" s="1">
        <v>95.006390254573901</v>
      </c>
      <c r="C128" s="1">
        <v>99.886019590382901</v>
      </c>
      <c r="D128" s="1"/>
      <c r="E128" s="1">
        <v>110.911583276217</v>
      </c>
      <c r="F128" s="1">
        <v>107.347861424363</v>
      </c>
      <c r="G128" t="str">
        <f>VLOOKUP('Combined Data'!A:A,Table13[#All],4, FALSE)</f>
        <v>Upper middle income</v>
      </c>
      <c r="H128" t="str">
        <f>VLOOKUP('Combined Data'!A:A,Table13[],3, FALSE)</f>
        <v>Sub-Saharan Africa</v>
      </c>
      <c r="I128" t="s">
        <v>27</v>
      </c>
    </row>
    <row r="129" spans="1:9" x14ac:dyDescent="0.3">
      <c r="A129" t="s">
        <v>165</v>
      </c>
      <c r="B129" s="1">
        <v>104.51773071289099</v>
      </c>
      <c r="C129" s="1">
        <v>103.358810424805</v>
      </c>
      <c r="D129" s="1">
        <v>102.00478363037099</v>
      </c>
      <c r="E129" s="1">
        <v>101.42075347900401</v>
      </c>
      <c r="F129" s="1"/>
      <c r="G129" t="str">
        <f>VLOOKUP('Combined Data'!A:A,Table13[#All],4, FALSE)</f>
        <v>Upper middle income</v>
      </c>
      <c r="H129" t="str">
        <f>VLOOKUP('Combined Data'!A:A,Table13[],3, FALSE)</f>
        <v>Latin America &amp; Caribbean</v>
      </c>
      <c r="I129" t="s">
        <v>28</v>
      </c>
    </row>
    <row r="130" spans="1:9" x14ac:dyDescent="0.3">
      <c r="A130" t="s">
        <v>166</v>
      </c>
      <c r="B130" s="1">
        <v>87.424045435708507</v>
      </c>
      <c r="C130" s="1">
        <v>87.399095395760199</v>
      </c>
      <c r="D130" s="1">
        <v>87.106332187743405</v>
      </c>
      <c r="E130" s="1">
        <v>82.154765735030097</v>
      </c>
      <c r="F130" s="1">
        <v>82.159819898381699</v>
      </c>
      <c r="G130" t="str">
        <f>VLOOKUP('Combined Data'!A:A,Table13[#All],4, FALSE)</f>
        <v>Lower middle income</v>
      </c>
      <c r="H130" t="str">
        <f>VLOOKUP('Combined Data'!A:A,Table13[],3, FALSE)</f>
        <v>East Asia &amp; Pacific</v>
      </c>
      <c r="I130" t="s">
        <v>29</v>
      </c>
    </row>
    <row r="131" spans="1:9" x14ac:dyDescent="0.3">
      <c r="A131" t="s">
        <v>167</v>
      </c>
      <c r="B131" s="1">
        <v>106.519975508955</v>
      </c>
      <c r="C131" s="1">
        <v>106.778422255742</v>
      </c>
      <c r="D131" s="1">
        <v>106.97324544397</v>
      </c>
      <c r="E131" s="1">
        <v>106.673559179739</v>
      </c>
      <c r="F131" s="1">
        <v>107.605837807201</v>
      </c>
      <c r="G131" t="str">
        <f>VLOOKUP('Combined Data'!A:A,Table13[#All],4, FALSE)</f>
        <v>Upper middle income</v>
      </c>
      <c r="H131" t="str">
        <f>VLOOKUP('Combined Data'!A:A,Table13[],3, FALSE)</f>
        <v>Europe &amp; Central Asia</v>
      </c>
      <c r="I131" t="s">
        <v>27</v>
      </c>
    </row>
    <row r="132" spans="1:9" x14ac:dyDescent="0.3">
      <c r="A132" t="s">
        <v>168</v>
      </c>
      <c r="B132" s="1"/>
      <c r="C132" s="1"/>
      <c r="D132" s="1"/>
      <c r="E132" s="1"/>
      <c r="F132" s="1">
        <v>120.58309173584</v>
      </c>
      <c r="G132" t="str">
        <f>VLOOKUP('Combined Data'!A:A,Table13[#All],4, FALSE)</f>
        <v>High income</v>
      </c>
      <c r="H132" t="str">
        <f>VLOOKUP('Combined Data'!A:A,Table13[],3, FALSE)</f>
        <v>Europe &amp; Central Asia</v>
      </c>
      <c r="I132" t="s">
        <v>28</v>
      </c>
    </row>
    <row r="133" spans="1:9" x14ac:dyDescent="0.3">
      <c r="A133" t="s">
        <v>169</v>
      </c>
      <c r="B133" s="1">
        <v>92.346460158066193</v>
      </c>
      <c r="C133" s="1">
        <v>92.024228960724997</v>
      </c>
      <c r="D133" s="1">
        <v>93.347384837329798</v>
      </c>
      <c r="E133" s="1">
        <v>93.065441111422203</v>
      </c>
      <c r="F133" s="1">
        <v>92.340078942355206</v>
      </c>
      <c r="G133" t="str">
        <f>VLOOKUP('Combined Data'!A:A,Table13[#All],4, FALSE)</f>
        <v>Upper middle income</v>
      </c>
      <c r="H133" t="str">
        <f>VLOOKUP('Combined Data'!A:A,Table13[],3, FALSE)</f>
        <v>East Asia &amp; Pacific</v>
      </c>
      <c r="I133" t="s">
        <v>29</v>
      </c>
    </row>
    <row r="134" spans="1:9" x14ac:dyDescent="0.3">
      <c r="A134" t="s">
        <v>170</v>
      </c>
      <c r="B134" s="1">
        <v>103.846572875977</v>
      </c>
      <c r="C134" s="1">
        <v>104.39967346191401</v>
      </c>
      <c r="D134" s="1">
        <v>105.621368408203</v>
      </c>
      <c r="E134" s="1">
        <v>106.109619140625</v>
      </c>
      <c r="F134" s="1"/>
      <c r="G134" t="str">
        <f>VLOOKUP('Combined Data'!A:A,Table13[#All],4, FALSE)</f>
        <v>Upper middle income</v>
      </c>
      <c r="H134" t="str">
        <f>VLOOKUP('Combined Data'!A:A,Table13[],3, FALSE)</f>
        <v>Europe &amp; Central Asia</v>
      </c>
      <c r="I134" t="s">
        <v>27</v>
      </c>
    </row>
    <row r="135" spans="1:9" x14ac:dyDescent="0.3">
      <c r="A135" t="s">
        <v>171</v>
      </c>
      <c r="B135" s="1">
        <v>112.35403746093201</v>
      </c>
      <c r="C135" s="1">
        <v>112.94088228676399</v>
      </c>
      <c r="D135" s="1">
        <v>116.554648725847</v>
      </c>
      <c r="E135" s="1">
        <v>117.598816130003</v>
      </c>
      <c r="F135" s="1">
        <v>116.588650279809</v>
      </c>
      <c r="G135" t="str">
        <f>VLOOKUP('Combined Data'!A:A,Table13[#All],4, FALSE)</f>
        <v>Lower middle income</v>
      </c>
      <c r="H135" t="str">
        <f>VLOOKUP('Combined Data'!A:A,Table13[],3, FALSE)</f>
        <v>Middle East, North Africa, Afghanistan &amp; Pakistan</v>
      </c>
      <c r="I135" t="s">
        <v>28</v>
      </c>
    </row>
    <row r="136" spans="1:9" x14ac:dyDescent="0.3">
      <c r="A136" t="s">
        <v>172</v>
      </c>
      <c r="B136" s="1">
        <v>118.980061431837</v>
      </c>
      <c r="C136" s="1"/>
      <c r="D136" s="1">
        <v>119.16222522339299</v>
      </c>
      <c r="E136" s="1"/>
      <c r="F136" s="1"/>
      <c r="G136" t="str">
        <f>VLOOKUP('Combined Data'!A:A,Table13[#All],4, FALSE)</f>
        <v>Low income</v>
      </c>
      <c r="H136" t="str">
        <f>VLOOKUP('Combined Data'!A:A,Table13[],3, FALSE)</f>
        <v>Sub-Saharan Africa</v>
      </c>
      <c r="I136" t="s">
        <v>29</v>
      </c>
    </row>
    <row r="137" spans="1:9" x14ac:dyDescent="0.3">
      <c r="A137" t="s">
        <v>173</v>
      </c>
      <c r="B137" s="1"/>
      <c r="C137" s="1"/>
      <c r="D137" s="1"/>
      <c r="E137" s="1"/>
      <c r="F137" s="1"/>
      <c r="G137" t="str">
        <f>VLOOKUP('Combined Data'!A:A,Table13[#All],4, FALSE)</f>
        <v>Lower middle income</v>
      </c>
      <c r="H137" t="str">
        <f>VLOOKUP('Combined Data'!A:A,Table13[],3, FALSE)</f>
        <v>East Asia &amp; Pacific</v>
      </c>
      <c r="I137" t="s">
        <v>27</v>
      </c>
    </row>
    <row r="138" spans="1:9" x14ac:dyDescent="0.3">
      <c r="A138" t="s">
        <v>174</v>
      </c>
      <c r="B138" s="1">
        <v>122.345254349927</v>
      </c>
      <c r="C138" s="1">
        <v>121.824196673464</v>
      </c>
      <c r="D138" s="1">
        <v>120.341925617623</v>
      </c>
      <c r="E138" s="1">
        <v>119.460955801452</v>
      </c>
      <c r="F138" s="1">
        <v>120.719328687086</v>
      </c>
      <c r="G138" t="str">
        <f>VLOOKUP('Combined Data'!A:A,Table13[#All],4, FALSE)</f>
        <v>Lower middle income</v>
      </c>
      <c r="H138" t="str">
        <f>VLOOKUP('Combined Data'!A:A,Table13[],3, FALSE)</f>
        <v>Sub-Saharan Africa</v>
      </c>
      <c r="I138" t="s">
        <v>28</v>
      </c>
    </row>
    <row r="139" spans="1:9" x14ac:dyDescent="0.3">
      <c r="A139" t="s">
        <v>175</v>
      </c>
      <c r="B139" s="1">
        <v>102.25771331787099</v>
      </c>
      <c r="C139" s="1"/>
      <c r="D139" s="1">
        <v>101.39037322998</v>
      </c>
      <c r="E139" s="1">
        <v>109.89834207399301</v>
      </c>
      <c r="F139" s="1">
        <v>99.566865032559207</v>
      </c>
      <c r="G139" t="str">
        <f>VLOOKUP('Combined Data'!A:A,Table13[#All],4, FALSE)</f>
        <v>High income</v>
      </c>
      <c r="H139" t="str">
        <f>VLOOKUP('Combined Data'!A:A,Table13[],3, FALSE)</f>
        <v>East Asia &amp; Pacific</v>
      </c>
      <c r="I139" t="s">
        <v>29</v>
      </c>
    </row>
    <row r="140" spans="1:9" x14ac:dyDescent="0.3">
      <c r="A140" t="s">
        <v>176</v>
      </c>
      <c r="B140" s="1">
        <v>121.90357208252</v>
      </c>
      <c r="C140" s="1">
        <v>119.97632950174599</v>
      </c>
      <c r="D140" s="1">
        <v>121.23480432136699</v>
      </c>
      <c r="E140" s="1">
        <v>126.553677663081</v>
      </c>
      <c r="F140" s="1">
        <v>124.621898762462</v>
      </c>
      <c r="G140" t="str">
        <f>VLOOKUP('Combined Data'!A:A,Table13[#All],4, FALSE)</f>
        <v>Lower middle income</v>
      </c>
      <c r="H140" t="str">
        <f>VLOOKUP('Combined Data'!A:A,Table13[],3, FALSE)</f>
        <v>South Asia</v>
      </c>
      <c r="I140" t="s">
        <v>27</v>
      </c>
    </row>
    <row r="141" spans="1:9" x14ac:dyDescent="0.3">
      <c r="A141" t="s">
        <v>177</v>
      </c>
      <c r="B141" s="1">
        <v>104.338813781738</v>
      </c>
      <c r="C141" s="1">
        <v>104.37840270996099</v>
      </c>
      <c r="D141" s="1">
        <v>104.215446472168</v>
      </c>
      <c r="E141" s="1">
        <v>104.15657043457</v>
      </c>
      <c r="F141" s="1"/>
      <c r="G141" t="str">
        <f>VLOOKUP('Combined Data'!A:A,Table13[#All],4, FALSE)</f>
        <v>High income</v>
      </c>
      <c r="H141" t="str">
        <f>VLOOKUP('Combined Data'!A:A,Table13[],3, FALSE)</f>
        <v>Europe &amp; Central Asia</v>
      </c>
      <c r="I141" t="s">
        <v>28</v>
      </c>
    </row>
    <row r="142" spans="1:9" x14ac:dyDescent="0.3">
      <c r="A142" t="s">
        <v>178</v>
      </c>
      <c r="B142" s="1"/>
      <c r="C142" s="1"/>
      <c r="D142" s="1"/>
      <c r="E142" s="1"/>
      <c r="F142" s="1"/>
      <c r="G142" t="str">
        <f>VLOOKUP('Combined Data'!A:A,Table13[#All],4, FALSE)</f>
        <v>High income</v>
      </c>
      <c r="H142" t="str">
        <f>VLOOKUP('Combined Data'!A:A,Table13[],3, FALSE)</f>
        <v>East Asia &amp; Pacific</v>
      </c>
      <c r="I142" t="s">
        <v>29</v>
      </c>
    </row>
    <row r="143" spans="1:9" x14ac:dyDescent="0.3">
      <c r="A143" t="s">
        <v>179</v>
      </c>
      <c r="B143" s="1">
        <v>97.536529541015597</v>
      </c>
      <c r="C143" s="1">
        <v>97.916946411132798</v>
      </c>
      <c r="D143" s="1">
        <v>96.5572509765625</v>
      </c>
      <c r="E143" s="1">
        <v>96.867050170898395</v>
      </c>
      <c r="F143" s="1"/>
      <c r="G143" t="str">
        <f>VLOOKUP('Combined Data'!A:A,Table13[#All],4, FALSE)</f>
        <v>High income</v>
      </c>
      <c r="H143" t="str">
        <f>VLOOKUP('Combined Data'!A:A,Table13[],3, FALSE)</f>
        <v>East Asia &amp; Pacific</v>
      </c>
      <c r="I143" t="s">
        <v>27</v>
      </c>
    </row>
    <row r="144" spans="1:9" x14ac:dyDescent="0.3">
      <c r="A144" t="s">
        <v>180</v>
      </c>
      <c r="B144" s="1"/>
      <c r="C144" s="1"/>
      <c r="D144" s="1"/>
      <c r="E144" s="1">
        <v>109.53639221191401</v>
      </c>
      <c r="F144" s="1"/>
      <c r="G144" t="str">
        <f>VLOOKUP('Combined Data'!A:A,Table13[#All],4, FALSE)</f>
        <v>Lower middle income</v>
      </c>
      <c r="H144" t="str">
        <f>VLOOKUP('Combined Data'!A:A,Table13[],3, FALSE)</f>
        <v>Latin America &amp; Caribbean</v>
      </c>
      <c r="I144" t="s">
        <v>28</v>
      </c>
    </row>
    <row r="145" spans="1:9" x14ac:dyDescent="0.3">
      <c r="A145" t="s">
        <v>181</v>
      </c>
      <c r="B145" s="1"/>
      <c r="C145" s="1">
        <v>65.864245185740998</v>
      </c>
      <c r="D145" s="1">
        <v>66.253971911859907</v>
      </c>
      <c r="E145" s="1">
        <v>66.880477993327204</v>
      </c>
      <c r="F145" s="1">
        <v>64.6534815281519</v>
      </c>
      <c r="G145" t="str">
        <f>VLOOKUP('Combined Data'!A:A,Table13[#All],4, FALSE)</f>
        <v>Low income</v>
      </c>
      <c r="H145" t="str">
        <f>VLOOKUP('Combined Data'!A:A,Table13[],3, FALSE)</f>
        <v>Sub-Saharan Africa</v>
      </c>
      <c r="I145" t="s">
        <v>29</v>
      </c>
    </row>
    <row r="146" spans="1:9" x14ac:dyDescent="0.3">
      <c r="A146" t="s">
        <v>182</v>
      </c>
      <c r="B146" s="1">
        <v>84.371583976484999</v>
      </c>
      <c r="C146" s="1">
        <v>83.809255595677897</v>
      </c>
      <c r="D146" s="1"/>
      <c r="E146" s="1">
        <v>89.587112426757798</v>
      </c>
      <c r="F146" s="1"/>
      <c r="G146" t="str">
        <f>VLOOKUP('Combined Data'!A:A,Table13[#All],4, FALSE)</f>
        <v>Lower middle income</v>
      </c>
      <c r="H146" t="str">
        <f>VLOOKUP('Combined Data'!A:A,Table13[],3, FALSE)</f>
        <v>Sub-Saharan Africa</v>
      </c>
      <c r="I146" t="s">
        <v>27</v>
      </c>
    </row>
    <row r="147" spans="1:9" x14ac:dyDescent="0.3">
      <c r="A147" t="s">
        <v>183</v>
      </c>
      <c r="B147" s="1">
        <v>93.435333251953097</v>
      </c>
      <c r="C147" s="1">
        <v>93.262458801269503</v>
      </c>
      <c r="D147" s="1">
        <v>97.486656188964801</v>
      </c>
      <c r="E147" s="1">
        <v>96.313171386718807</v>
      </c>
      <c r="F147" s="1"/>
      <c r="G147" t="str">
        <f>VLOOKUP('Combined Data'!A:A,Table13[#All],4, FALSE)</f>
        <v>Upper middle income</v>
      </c>
      <c r="H147" t="str">
        <f>VLOOKUP('Combined Data'!A:A,Table13[],3, FALSE)</f>
        <v>Europe &amp; Central Asia</v>
      </c>
      <c r="I147" t="s">
        <v>28</v>
      </c>
    </row>
    <row r="148" spans="1:9" x14ac:dyDescent="0.3">
      <c r="A148" t="s">
        <v>184</v>
      </c>
      <c r="B148" s="1"/>
      <c r="C148" s="1"/>
      <c r="D148" s="1"/>
      <c r="E148" s="1"/>
      <c r="F148" s="1"/>
      <c r="G148" t="str">
        <f>VLOOKUP('Combined Data'!A:A,Table13[#All],4, FALSE)</f>
        <v>High income</v>
      </c>
      <c r="H148" t="str">
        <f>VLOOKUP('Combined Data'!A:A,Table13[],3, FALSE)</f>
        <v>East Asia &amp; Pacific</v>
      </c>
      <c r="I148" t="s">
        <v>29</v>
      </c>
    </row>
    <row r="149" spans="1:9" x14ac:dyDescent="0.3">
      <c r="A149" t="s">
        <v>185</v>
      </c>
      <c r="B149" s="1">
        <v>98.885749816894503</v>
      </c>
      <c r="C149" s="1">
        <v>98.973190307617202</v>
      </c>
      <c r="D149" s="1">
        <v>98.966758728027301</v>
      </c>
      <c r="E149" s="1">
        <v>98.610443115234403</v>
      </c>
      <c r="F149" s="1"/>
      <c r="G149" t="str">
        <f>VLOOKUP('Combined Data'!A:A,Table13[#All],4, FALSE)</f>
        <v>High income</v>
      </c>
      <c r="H149" t="str">
        <f>VLOOKUP('Combined Data'!A:A,Table13[],3, FALSE)</f>
        <v>Europe &amp; Central Asia</v>
      </c>
      <c r="I149" t="s">
        <v>27</v>
      </c>
    </row>
    <row r="150" spans="1:9" x14ac:dyDescent="0.3">
      <c r="A150" t="s">
        <v>186</v>
      </c>
      <c r="B150" s="1">
        <v>90.636727982112006</v>
      </c>
      <c r="C150" s="1">
        <v>89.198029420725604</v>
      </c>
      <c r="D150" s="1">
        <v>89.245571441417098</v>
      </c>
      <c r="E150" s="1"/>
      <c r="F150" s="1"/>
      <c r="G150" t="str">
        <f>VLOOKUP('Combined Data'!A:A,Table13[#All],4, FALSE)</f>
        <v>High income</v>
      </c>
      <c r="H150" t="str">
        <f>VLOOKUP('Combined Data'!A:A,Table13[],3, FALSE)</f>
        <v>Middle East, North Africa, Afghanistan &amp; Pakistan</v>
      </c>
      <c r="I150" t="s">
        <v>28</v>
      </c>
    </row>
    <row r="151" spans="1:9" x14ac:dyDescent="0.3">
      <c r="A151" t="s">
        <v>187</v>
      </c>
      <c r="B151" s="1"/>
      <c r="C151" s="1">
        <v>80.316579007568507</v>
      </c>
      <c r="D151" s="1">
        <v>78.940024884435203</v>
      </c>
      <c r="E151" s="1">
        <v>81.379634612875094</v>
      </c>
      <c r="F151" s="1">
        <v>83.726068200404001</v>
      </c>
      <c r="G151" t="str">
        <f>VLOOKUP('Combined Data'!A:A,Table13[#All],4, FALSE)</f>
        <v>Lower middle income</v>
      </c>
      <c r="H151" t="str">
        <f>VLOOKUP('Combined Data'!A:A,Table13[],3, FALSE)</f>
        <v>Middle East, North Africa, Afghanistan &amp; Pakistan</v>
      </c>
      <c r="I151" t="s">
        <v>29</v>
      </c>
    </row>
    <row r="152" spans="1:9" x14ac:dyDescent="0.3">
      <c r="A152" t="s">
        <v>188</v>
      </c>
      <c r="B152" s="1">
        <v>105.470909118652</v>
      </c>
      <c r="C152" s="1">
        <v>108.989547729492</v>
      </c>
      <c r="D152" s="1">
        <v>92.014134275618403</v>
      </c>
      <c r="E152" s="1">
        <v>100.71890726096299</v>
      </c>
      <c r="F152" s="1"/>
      <c r="G152" t="str">
        <f>VLOOKUP('Combined Data'!A:A,Table13[#All],4, FALSE)</f>
        <v>High income</v>
      </c>
      <c r="H152" t="str">
        <f>VLOOKUP('Combined Data'!A:A,Table13[],3, FALSE)</f>
        <v>East Asia &amp; Pacific</v>
      </c>
      <c r="I152" t="s">
        <v>27</v>
      </c>
    </row>
    <row r="153" spans="1:9" x14ac:dyDescent="0.3">
      <c r="A153" t="s">
        <v>189</v>
      </c>
      <c r="B153" s="1">
        <v>95.204877126487801</v>
      </c>
      <c r="C153" s="1">
        <v>100.88841591996</v>
      </c>
      <c r="D153" s="1">
        <v>101.563230633345</v>
      </c>
      <c r="E153" s="1">
        <v>95.203393587737594</v>
      </c>
      <c r="F153" s="1"/>
      <c r="G153" t="str">
        <f>VLOOKUP('Combined Data'!A:A,Table13[#All],4, FALSE)</f>
        <v>High income</v>
      </c>
      <c r="H153" t="str">
        <f>VLOOKUP('Combined Data'!A:A,Table13[],3, FALSE)</f>
        <v>Latin America &amp; Caribbean</v>
      </c>
      <c r="I153" t="s">
        <v>28</v>
      </c>
    </row>
    <row r="154" spans="1:9" x14ac:dyDescent="0.3">
      <c r="A154" t="s">
        <v>190</v>
      </c>
      <c r="B154" s="1">
        <v>102.053543720153</v>
      </c>
      <c r="C154" s="1">
        <v>101.941113862706</v>
      </c>
      <c r="D154" s="1">
        <v>111.086149294969</v>
      </c>
      <c r="E154" s="1">
        <v>121.090488343548</v>
      </c>
      <c r="F154" s="1"/>
      <c r="G154" t="str">
        <f>VLOOKUP('Combined Data'!A:A,Table13[#All],4, FALSE)</f>
        <v>Lower middle income</v>
      </c>
      <c r="H154" t="str">
        <f>VLOOKUP('Combined Data'!A:A,Table13[],3, FALSE)</f>
        <v>East Asia &amp; Pacific</v>
      </c>
      <c r="I154" t="s">
        <v>29</v>
      </c>
    </row>
    <row r="155" spans="1:9" x14ac:dyDescent="0.3">
      <c r="A155" t="s">
        <v>191</v>
      </c>
      <c r="B155" s="1">
        <v>90.834290856789295</v>
      </c>
      <c r="C155" s="1">
        <v>92.522003173828097</v>
      </c>
      <c r="D155" s="1">
        <v>91.028641566938703</v>
      </c>
      <c r="E155" s="1">
        <v>90.353268684358895</v>
      </c>
      <c r="F155" s="1">
        <v>89.438641738679294</v>
      </c>
      <c r="G155" t="str">
        <f>VLOOKUP('Combined Data'!A:A,Table13[#All],4, FALSE)</f>
        <v>Upper middle income</v>
      </c>
      <c r="H155" t="str">
        <f>VLOOKUP('Combined Data'!A:A,Table13[],3, FALSE)</f>
        <v>Latin America &amp; Caribbean</v>
      </c>
      <c r="I155" t="s">
        <v>27</v>
      </c>
    </row>
    <row r="156" spans="1:9" x14ac:dyDescent="0.3">
      <c r="A156" t="s">
        <v>192</v>
      </c>
      <c r="B156" s="1">
        <v>113.06582641601599</v>
      </c>
      <c r="C156" s="1">
        <v>113.829208374023</v>
      </c>
      <c r="D156" s="1">
        <v>114.349319458008</v>
      </c>
      <c r="E156" s="1">
        <v>113.900588989258</v>
      </c>
      <c r="F156" s="1"/>
      <c r="G156" t="str">
        <f>VLOOKUP('Combined Data'!A:A,Table13[#All],4, FALSE)</f>
        <v>Upper middle income</v>
      </c>
      <c r="H156" t="str">
        <f>VLOOKUP('Combined Data'!A:A,Table13[],3, FALSE)</f>
        <v>Latin America &amp; Caribbean</v>
      </c>
      <c r="I156" t="s">
        <v>28</v>
      </c>
    </row>
    <row r="157" spans="1:9" x14ac:dyDescent="0.3">
      <c r="A157" t="s">
        <v>193</v>
      </c>
      <c r="B157" s="1">
        <v>93.282238648583899</v>
      </c>
      <c r="C157" s="1">
        <v>88.8345145801337</v>
      </c>
      <c r="D157" s="1">
        <v>90.613143832561093</v>
      </c>
      <c r="E157" s="1">
        <v>92.446210701521494</v>
      </c>
      <c r="F157" s="1">
        <v>94.033090638319393</v>
      </c>
      <c r="G157" t="str">
        <f>VLOOKUP('Combined Data'!A:A,Table13[#All],4, FALSE)</f>
        <v>Lower middle income</v>
      </c>
      <c r="H157" t="str">
        <f>VLOOKUP('Combined Data'!A:A,Table13[],3, FALSE)</f>
        <v>East Asia &amp; Pacific</v>
      </c>
      <c r="I157" t="s">
        <v>29</v>
      </c>
    </row>
    <row r="158" spans="1:9" x14ac:dyDescent="0.3">
      <c r="A158" t="s">
        <v>194</v>
      </c>
      <c r="B158" s="1">
        <v>82.211540222167997</v>
      </c>
      <c r="C158" s="1">
        <v>96.601821899414105</v>
      </c>
      <c r="D158" s="1">
        <v>100.594268798828</v>
      </c>
      <c r="E158" s="1">
        <v>105.397079467773</v>
      </c>
      <c r="F158" s="1"/>
      <c r="G158" t="str">
        <f>VLOOKUP('Combined Data'!A:A,Table13[#All],4, FALSE)</f>
        <v>High income</v>
      </c>
      <c r="H158" t="str">
        <f>VLOOKUP('Combined Data'!A:A,Table13[],3, FALSE)</f>
        <v>Europe &amp; Central Asia</v>
      </c>
      <c r="I158" t="s">
        <v>27</v>
      </c>
    </row>
    <row r="159" spans="1:9" x14ac:dyDescent="0.3">
      <c r="A159" t="s">
        <v>195</v>
      </c>
      <c r="B159" s="1">
        <v>105.753471374512</v>
      </c>
      <c r="C159" s="1">
        <v>105.672172546387</v>
      </c>
      <c r="D159" s="1">
        <v>108.103523254395</v>
      </c>
      <c r="E159" s="1">
        <v>110.98851776123</v>
      </c>
      <c r="F159" s="1"/>
      <c r="G159" t="str">
        <f>VLOOKUP('Combined Data'!A:A,Table13[#All],4, FALSE)</f>
        <v>High income</v>
      </c>
      <c r="H159" t="str">
        <f>VLOOKUP('Combined Data'!A:A,Table13[],3, FALSE)</f>
        <v>Europe &amp; Central Asia</v>
      </c>
      <c r="I159" t="s">
        <v>28</v>
      </c>
    </row>
    <row r="160" spans="1:9" x14ac:dyDescent="0.3">
      <c r="A160" t="s">
        <v>196</v>
      </c>
      <c r="B160" s="1">
        <v>100.98497277133499</v>
      </c>
      <c r="C160" s="1">
        <v>89.569406104145202</v>
      </c>
      <c r="D160" s="1">
        <v>94.197127900154399</v>
      </c>
      <c r="E160" s="1"/>
      <c r="F160" s="1"/>
      <c r="G160" t="str">
        <f>VLOOKUP('Combined Data'!A:A,Table13[#All],4, FALSE)</f>
        <v>High income</v>
      </c>
      <c r="H160" t="str">
        <f>VLOOKUP('Combined Data'!A:A,Table13[],3, FALSE)</f>
        <v>Middle East, North Africa, Afghanistan &amp; Pakistan</v>
      </c>
      <c r="I160" t="s">
        <v>29</v>
      </c>
    </row>
    <row r="161" spans="1:9" x14ac:dyDescent="0.3">
      <c r="A161" t="s">
        <v>197</v>
      </c>
      <c r="B161" s="1">
        <v>91.904739379882798</v>
      </c>
      <c r="C161" s="1">
        <v>90.773170471191406</v>
      </c>
      <c r="D161" s="1">
        <v>84.881278991699205</v>
      </c>
      <c r="E161" s="1">
        <v>84.946662902832003</v>
      </c>
      <c r="F161" s="1"/>
      <c r="G161" t="str">
        <f>VLOOKUP('Combined Data'!A:A,Table13[#All],4, FALSE)</f>
        <v>High income</v>
      </c>
      <c r="H161" t="str">
        <f>VLOOKUP('Combined Data'!A:A,Table13[],3, FALSE)</f>
        <v>Europe &amp; Central Asia</v>
      </c>
      <c r="I161" t="s">
        <v>27</v>
      </c>
    </row>
    <row r="162" spans="1:9" x14ac:dyDescent="0.3">
      <c r="A162" t="s">
        <v>198</v>
      </c>
      <c r="B162" s="1">
        <v>101.731047648404</v>
      </c>
      <c r="C162" s="1">
        <v>100.890349270112</v>
      </c>
      <c r="D162" s="1">
        <v>100.122558846483</v>
      </c>
      <c r="E162" s="1">
        <v>97.746204147601304</v>
      </c>
      <c r="F162" s="1"/>
      <c r="G162" t="str">
        <f>VLOOKUP('Combined Data'!A:A,Table13[#All],4, FALSE)</f>
        <v>High income</v>
      </c>
      <c r="H162" t="str">
        <f>VLOOKUP('Combined Data'!A:A,Table13[],3, FALSE)</f>
        <v>Europe &amp; Central Asia</v>
      </c>
      <c r="I162" t="s">
        <v>28</v>
      </c>
    </row>
    <row r="163" spans="1:9" x14ac:dyDescent="0.3">
      <c r="A163" t="s">
        <v>199</v>
      </c>
      <c r="B163" s="1"/>
      <c r="C163" s="1">
        <v>151.06357186783401</v>
      </c>
      <c r="D163" s="1">
        <v>148.75248209986299</v>
      </c>
      <c r="E163" s="1">
        <v>151.894816720753</v>
      </c>
      <c r="F163" s="1">
        <v>149.57218314938899</v>
      </c>
      <c r="G163" t="str">
        <f>VLOOKUP('Combined Data'!A:A,Table13[#All],4, FALSE)</f>
        <v>Low income</v>
      </c>
      <c r="H163" t="str">
        <f>VLOOKUP('Combined Data'!A:A,Table13[],3, FALSE)</f>
        <v>Sub-Saharan Africa</v>
      </c>
      <c r="I163" t="s">
        <v>29</v>
      </c>
    </row>
    <row r="164" spans="1:9" x14ac:dyDescent="0.3">
      <c r="A164" t="s">
        <v>200</v>
      </c>
      <c r="B164" s="1">
        <v>101.99483481315301</v>
      </c>
      <c r="C164" s="1">
        <v>104.730628904914</v>
      </c>
      <c r="D164" s="1">
        <v>103.30974754162</v>
      </c>
      <c r="E164" s="1">
        <v>101.61702064134801</v>
      </c>
      <c r="F164" s="1">
        <v>101.043324329961</v>
      </c>
      <c r="G164" t="str">
        <f>VLOOKUP('Combined Data'!A:A,Table13[#All],4, FALSE)</f>
        <v>Upper middle income</v>
      </c>
      <c r="H164" t="str">
        <f>VLOOKUP('Combined Data'!A:A,Table13[],3, FALSE)</f>
        <v>East Asia &amp; Pacific</v>
      </c>
      <c r="I164" t="s">
        <v>27</v>
      </c>
    </row>
    <row r="165" spans="1:9" x14ac:dyDescent="0.3">
      <c r="A165" t="s">
        <v>201</v>
      </c>
      <c r="B165" s="1">
        <v>94.405182567726698</v>
      </c>
      <c r="C165" s="1">
        <v>93.573573573573597</v>
      </c>
      <c r="D165" s="1">
        <v>93.9375</v>
      </c>
      <c r="E165" s="1">
        <v>95.120364346128795</v>
      </c>
      <c r="F165" s="1">
        <v>93.530997304582201</v>
      </c>
      <c r="G165" t="str">
        <f>VLOOKUP('Combined Data'!A:A,Table13[#All],4, FALSE)</f>
        <v>High income</v>
      </c>
      <c r="H165" t="str">
        <f>VLOOKUP('Combined Data'!A:A,Table13[],3, FALSE)</f>
        <v>Europe &amp; Central Asia</v>
      </c>
      <c r="I165" t="s">
        <v>28</v>
      </c>
    </row>
    <row r="166" spans="1:9" x14ac:dyDescent="0.3">
      <c r="A166" t="s">
        <v>202</v>
      </c>
      <c r="B166" s="1"/>
      <c r="C166" s="1"/>
      <c r="D166" s="1"/>
      <c r="E166" s="1"/>
      <c r="F166" s="1"/>
      <c r="G166" t="str">
        <f>VLOOKUP('Combined Data'!A:A,Table13[#All],4, FALSE)</f>
        <v>Lower middle income</v>
      </c>
      <c r="H166" t="str">
        <f>VLOOKUP('Combined Data'!A:A,Table13[],3, FALSE)</f>
        <v>Sub-Saharan Africa</v>
      </c>
      <c r="I166" t="s">
        <v>29</v>
      </c>
    </row>
    <row r="167" spans="1:9" x14ac:dyDescent="0.3">
      <c r="A167" t="s">
        <v>203</v>
      </c>
      <c r="B167" s="1">
        <v>103.151902576284</v>
      </c>
      <c r="C167" s="1">
        <v>100.89557992908701</v>
      </c>
      <c r="D167" s="1">
        <v>102.13902539092</v>
      </c>
      <c r="E167" s="1"/>
      <c r="F167" s="1">
        <v>103.984471859469</v>
      </c>
      <c r="G167" t="str">
        <f>VLOOKUP('Combined Data'!A:A,Table13[#All],4, FALSE)</f>
        <v>High income</v>
      </c>
      <c r="H167" t="str">
        <f>VLOOKUP('Combined Data'!A:A,Table13[],3, FALSE)</f>
        <v>Middle East, North Africa, Afghanistan &amp; Pakistan</v>
      </c>
      <c r="I167" t="s">
        <v>27</v>
      </c>
    </row>
    <row r="168" spans="1:9" x14ac:dyDescent="0.3">
      <c r="A168" t="s">
        <v>204</v>
      </c>
      <c r="B168" s="1">
        <v>84.903129147737104</v>
      </c>
      <c r="C168" s="1">
        <v>84.061227641773598</v>
      </c>
      <c r="D168" s="1">
        <v>84.273319827358407</v>
      </c>
      <c r="E168" s="1">
        <v>85.452365859643393</v>
      </c>
      <c r="F168" s="1">
        <v>85.327966956633503</v>
      </c>
      <c r="G168" t="str">
        <f>VLOOKUP('Combined Data'!A:A,Table13[#All],4, FALSE)</f>
        <v>Lower middle income</v>
      </c>
      <c r="H168" t="str">
        <f>VLOOKUP('Combined Data'!A:A,Table13[],3, FALSE)</f>
        <v>Sub-Saharan Africa</v>
      </c>
      <c r="I168" t="s">
        <v>28</v>
      </c>
    </row>
    <row r="169" spans="1:9" x14ac:dyDescent="0.3">
      <c r="A169" t="s">
        <v>205</v>
      </c>
      <c r="B169" s="1">
        <v>97.705848693847699</v>
      </c>
      <c r="C169" s="1">
        <v>96.811256408691406</v>
      </c>
      <c r="D169" s="1">
        <v>96.627967834472699</v>
      </c>
      <c r="E169" s="1"/>
      <c r="F169" s="1"/>
      <c r="G169" t="str">
        <f>VLOOKUP('Combined Data'!A:A,Table13[#All],4, FALSE)</f>
        <v>Upper middle income</v>
      </c>
      <c r="H169" t="str">
        <f>VLOOKUP('Combined Data'!A:A,Table13[],3, FALSE)</f>
        <v>Europe &amp; Central Asia</v>
      </c>
      <c r="I169" t="s">
        <v>29</v>
      </c>
    </row>
    <row r="170" spans="1:9" x14ac:dyDescent="0.3">
      <c r="A170" t="s">
        <v>206</v>
      </c>
      <c r="B170" s="1">
        <v>114.15366146458599</v>
      </c>
      <c r="C170" s="1">
        <v>109.626103111937</v>
      </c>
      <c r="D170" s="1">
        <v>97.765477654776504</v>
      </c>
      <c r="E170" s="1">
        <v>97.135917417265503</v>
      </c>
      <c r="F170" s="1">
        <v>93.380058288574205</v>
      </c>
      <c r="G170" t="str">
        <f>VLOOKUP('Combined Data'!A:A,Table13[#All],4, FALSE)</f>
        <v>High income</v>
      </c>
      <c r="H170" t="str">
        <f>VLOOKUP('Combined Data'!A:A,Table13[],3, FALSE)</f>
        <v>Sub-Saharan Africa</v>
      </c>
      <c r="I170" t="s">
        <v>27</v>
      </c>
    </row>
    <row r="171" spans="1:9" x14ac:dyDescent="0.3">
      <c r="A171" t="s">
        <v>207</v>
      </c>
      <c r="B171" s="1">
        <v>142.79212464763901</v>
      </c>
      <c r="C171" s="1">
        <v>157.70975757600101</v>
      </c>
      <c r="D171" s="1">
        <v>163.17355466705499</v>
      </c>
      <c r="E171" s="1">
        <v>159.416853770084</v>
      </c>
      <c r="F171" s="1">
        <v>162.123997594776</v>
      </c>
      <c r="G171" t="str">
        <f>VLOOKUP('Combined Data'!A:A,Table13[#All],4, FALSE)</f>
        <v>Low income</v>
      </c>
      <c r="H171" t="str">
        <f>VLOOKUP('Combined Data'!A:A,Table13[],3, FALSE)</f>
        <v>Sub-Saharan Africa</v>
      </c>
      <c r="I171" t="s">
        <v>28</v>
      </c>
    </row>
    <row r="172" spans="1:9" x14ac:dyDescent="0.3">
      <c r="A172" t="s">
        <v>208</v>
      </c>
      <c r="B172" s="1">
        <v>100.53590938338</v>
      </c>
      <c r="C172" s="1">
        <v>99.874645040804296</v>
      </c>
      <c r="D172" s="1">
        <v>99.578037663732403</v>
      </c>
      <c r="E172" s="1">
        <v>100.245139192048</v>
      </c>
      <c r="F172" s="1"/>
      <c r="G172" t="str">
        <f>VLOOKUP('Combined Data'!A:A,Table13[#All],4, FALSE)</f>
        <v>High income</v>
      </c>
      <c r="H172" t="str">
        <f>VLOOKUP('Combined Data'!A:A,Table13[],3, FALSE)</f>
        <v>East Asia &amp; Pacific</v>
      </c>
      <c r="I172" t="s">
        <v>29</v>
      </c>
    </row>
    <row r="173" spans="1:9" x14ac:dyDescent="0.3">
      <c r="A173" t="s">
        <v>209</v>
      </c>
      <c r="B173" s="1"/>
      <c r="C173" s="1"/>
      <c r="D173" s="1"/>
      <c r="E173" s="1">
        <v>135.07075500488301</v>
      </c>
      <c r="F173" s="1"/>
      <c r="G173" t="str">
        <f>VLOOKUP('Combined Data'!A:A,Table13[#All],4, FALSE)</f>
        <v>High income</v>
      </c>
      <c r="H173" t="str">
        <f>VLOOKUP('Combined Data'!A:A,Table13[],3, FALSE)</f>
        <v>Latin America &amp; Caribbean</v>
      </c>
      <c r="I173" t="s">
        <v>27</v>
      </c>
    </row>
    <row r="174" spans="1:9" x14ac:dyDescent="0.3">
      <c r="A174" t="s">
        <v>210</v>
      </c>
      <c r="B174" s="1">
        <v>99.917228698730497</v>
      </c>
      <c r="C174" s="1">
        <v>100.064170837402</v>
      </c>
      <c r="D174" s="1">
        <v>100.32672119140599</v>
      </c>
      <c r="E174" s="1">
        <v>103.09055328369099</v>
      </c>
      <c r="F174" s="1"/>
      <c r="G174" t="str">
        <f>VLOOKUP('Combined Data'!A:A,Table13[#All],4, FALSE)</f>
        <v>High income</v>
      </c>
      <c r="H174" t="str">
        <f>VLOOKUP('Combined Data'!A:A,Table13[],3, FALSE)</f>
        <v>Europe &amp; Central Asia</v>
      </c>
      <c r="I174" t="s">
        <v>28</v>
      </c>
    </row>
    <row r="175" spans="1:9" x14ac:dyDescent="0.3">
      <c r="A175" t="s">
        <v>211</v>
      </c>
      <c r="B175" s="1">
        <v>100.23153686523401</v>
      </c>
      <c r="C175" s="1">
        <v>99.776268005371094</v>
      </c>
      <c r="D175" s="1">
        <v>100.63913726806599</v>
      </c>
      <c r="E175" s="1">
        <v>100.88410186767599</v>
      </c>
      <c r="F175" s="1"/>
      <c r="G175" t="str">
        <f>VLOOKUP('Combined Data'!A:A,Table13[#All],4, FALSE)</f>
        <v>High income</v>
      </c>
      <c r="H175" t="str">
        <f>VLOOKUP('Combined Data'!A:A,Table13[],3, FALSE)</f>
        <v>Europe &amp; Central Asia</v>
      </c>
      <c r="I175" t="s">
        <v>29</v>
      </c>
    </row>
    <row r="176" spans="1:9" x14ac:dyDescent="0.3">
      <c r="A176" t="s">
        <v>212</v>
      </c>
      <c r="B176" s="1">
        <v>89.600798676294204</v>
      </c>
      <c r="C176" s="1"/>
      <c r="D176" s="1"/>
      <c r="E176" s="1">
        <v>80.254479101583499</v>
      </c>
      <c r="F176" s="1">
        <v>81.844575959610296</v>
      </c>
      <c r="G176" t="str">
        <f>VLOOKUP('Combined Data'!A:A,Table13[#All],4, FALSE)</f>
        <v>Lower middle income</v>
      </c>
      <c r="H176" t="str">
        <f>VLOOKUP('Combined Data'!A:A,Table13[],3, FALSE)</f>
        <v>East Asia &amp; Pacific</v>
      </c>
      <c r="I176" t="s">
        <v>27</v>
      </c>
    </row>
    <row r="177" spans="1:9" x14ac:dyDescent="0.3">
      <c r="A177" t="s">
        <v>213</v>
      </c>
      <c r="B177" s="1"/>
      <c r="C177" s="1"/>
      <c r="D177" s="1"/>
      <c r="E177" s="1">
        <v>20.915550231933601</v>
      </c>
      <c r="F177" s="1"/>
      <c r="G177" t="str">
        <f>VLOOKUP('Combined Data'!A:A,Table13[#All],4, FALSE)</f>
        <v>Low income</v>
      </c>
      <c r="H177" t="str">
        <f>VLOOKUP('Combined Data'!A:A,Table13[],3, FALSE)</f>
        <v>Sub-Saharan Africa</v>
      </c>
      <c r="I177" t="s">
        <v>28</v>
      </c>
    </row>
    <row r="178" spans="1:9" x14ac:dyDescent="0.3">
      <c r="A178" t="s">
        <v>214</v>
      </c>
      <c r="B178" s="1"/>
      <c r="C178" s="1"/>
      <c r="D178" s="1"/>
      <c r="E178" s="1"/>
      <c r="F178" s="1">
        <v>98.441238403320298</v>
      </c>
      <c r="G178" t="str">
        <f>VLOOKUP('Combined Data'!A:A,Table13[#All],4, FALSE)</f>
        <v>Low income</v>
      </c>
      <c r="H178" t="str">
        <f>VLOOKUP('Combined Data'!A:A,Table13[],3, FALSE)</f>
        <v>Sub-Saharan Africa</v>
      </c>
      <c r="I178" t="s">
        <v>29</v>
      </c>
    </row>
    <row r="179" spans="1:9" x14ac:dyDescent="0.3">
      <c r="A179" t="s">
        <v>215</v>
      </c>
      <c r="B179" s="1">
        <v>103.41042327880901</v>
      </c>
      <c r="C179" s="1">
        <v>102.899139404297</v>
      </c>
      <c r="D179" s="1">
        <v>102.445991516113</v>
      </c>
      <c r="E179" s="1">
        <v>103.002769470215</v>
      </c>
      <c r="F179" s="1"/>
      <c r="G179" t="str">
        <f>VLOOKUP('Combined Data'!A:A,Table13[#All],4, FALSE)</f>
        <v>High income</v>
      </c>
      <c r="H179" t="str">
        <f>VLOOKUP('Combined Data'!A:A,Table13[],3, FALSE)</f>
        <v>Europe &amp; Central Asia</v>
      </c>
      <c r="I179" t="s">
        <v>27</v>
      </c>
    </row>
    <row r="180" spans="1:9" x14ac:dyDescent="0.3">
      <c r="A180" t="s">
        <v>216</v>
      </c>
      <c r="B180" s="1">
        <v>95.233873310318202</v>
      </c>
      <c r="C180" s="1">
        <v>94.459178502415</v>
      </c>
      <c r="D180" s="1">
        <v>92.984646670567798</v>
      </c>
      <c r="E180" s="1">
        <v>91.451142123502606</v>
      </c>
      <c r="F180" s="1"/>
      <c r="G180" t="str">
        <f>VLOOKUP('Combined Data'!A:A,Table13[#All],4, FALSE)</f>
        <v>Lower middle income</v>
      </c>
      <c r="H180" t="str">
        <f>VLOOKUP('Combined Data'!A:A,Table13[],3, FALSE)</f>
        <v>South Asia</v>
      </c>
      <c r="I180" t="s">
        <v>28</v>
      </c>
    </row>
    <row r="181" spans="1:9" x14ac:dyDescent="0.3">
      <c r="A181" t="s">
        <v>217</v>
      </c>
      <c r="B181" s="1">
        <v>129.318854886476</v>
      </c>
      <c r="C181" s="1">
        <v>138.73167419433599</v>
      </c>
      <c r="D181" s="1">
        <v>127.689992475545</v>
      </c>
      <c r="E181" s="1">
        <v>121.118748518606</v>
      </c>
      <c r="F181" s="1"/>
      <c r="G181" t="str">
        <f>VLOOKUP('Combined Data'!A:A,Table13[#All],4, FALSE)</f>
        <v>High income</v>
      </c>
      <c r="H181" t="str">
        <f>VLOOKUP('Combined Data'!A:A,Table13[],3, FALSE)</f>
        <v>Latin America &amp; Caribbean</v>
      </c>
      <c r="I181" t="s">
        <v>29</v>
      </c>
    </row>
    <row r="182" spans="1:9" x14ac:dyDescent="0.3">
      <c r="A182" t="s">
        <v>218</v>
      </c>
      <c r="B182" s="1">
        <v>98.429252624511705</v>
      </c>
      <c r="C182" s="1"/>
      <c r="D182" s="1">
        <v>102.964202074272</v>
      </c>
      <c r="E182" s="1">
        <v>101.370978688747</v>
      </c>
      <c r="F182" s="1">
        <v>96.782295838707498</v>
      </c>
      <c r="G182" t="str">
        <f>VLOOKUP('Combined Data'!A:A,Table13[#All],4, FALSE)</f>
        <v>Upper middle income</v>
      </c>
      <c r="H182" t="str">
        <f>VLOOKUP('Combined Data'!A:A,Table13[],3, FALSE)</f>
        <v>Latin America &amp; Caribbean</v>
      </c>
      <c r="I182" t="s">
        <v>27</v>
      </c>
    </row>
    <row r="183" spans="1:9" x14ac:dyDescent="0.3">
      <c r="A183" t="s">
        <v>219</v>
      </c>
      <c r="B183" s="1"/>
      <c r="C183" s="1"/>
      <c r="D183" s="1"/>
      <c r="E183" s="1"/>
      <c r="F183" s="1"/>
      <c r="G183" t="str">
        <f>VLOOKUP('Combined Data'!A:A,Table13[#All],4, FALSE)</f>
        <v>High income</v>
      </c>
      <c r="H183" t="str">
        <f>VLOOKUP('Combined Data'!A:A,Table13[],3, FALSE)</f>
        <v>Latin America &amp; Caribbean</v>
      </c>
      <c r="I183" t="s">
        <v>28</v>
      </c>
    </row>
    <row r="184" spans="1:9" x14ac:dyDescent="0.3">
      <c r="A184" t="s">
        <v>220</v>
      </c>
      <c r="B184" s="1"/>
      <c r="C184" s="1"/>
      <c r="D184" s="1"/>
      <c r="E184" s="1">
        <v>111.270698547363</v>
      </c>
      <c r="F184" s="1"/>
      <c r="G184" t="str">
        <f>VLOOKUP('Combined Data'!A:A,Table13[#All],4, FALSE)</f>
        <v>Upper middle income</v>
      </c>
      <c r="H184" t="str">
        <f>VLOOKUP('Combined Data'!A:A,Table13[],3, FALSE)</f>
        <v>Latin America &amp; Caribbean</v>
      </c>
      <c r="I184" t="s">
        <v>29</v>
      </c>
    </row>
    <row r="185" spans="1:9" x14ac:dyDescent="0.3">
      <c r="A185" t="s">
        <v>221</v>
      </c>
      <c r="B185" s="1"/>
      <c r="C185" s="1"/>
      <c r="D185" s="1"/>
      <c r="E185" s="1"/>
      <c r="F185" s="1"/>
      <c r="G185" t="str">
        <f>VLOOKUP('Combined Data'!A:A,Table13[#All],4, FALSE)</f>
        <v>Low income</v>
      </c>
      <c r="H185" t="str">
        <f>VLOOKUP('Combined Data'!A:A,Table13[],3, FALSE)</f>
        <v>Sub-Saharan Africa</v>
      </c>
      <c r="I185" t="s">
        <v>27</v>
      </c>
    </row>
    <row r="186" spans="1:9" x14ac:dyDescent="0.3">
      <c r="A186" t="s">
        <v>222</v>
      </c>
      <c r="B186" s="1">
        <v>102.277236938477</v>
      </c>
      <c r="C186" s="1">
        <v>94.881321259889901</v>
      </c>
      <c r="D186" s="1">
        <v>95.297263287524899</v>
      </c>
      <c r="E186" s="1">
        <v>64.179420471191406</v>
      </c>
      <c r="F186" s="1"/>
      <c r="G186" t="str">
        <f>VLOOKUP('Combined Data'!A:A,Table13[#All],4, FALSE)</f>
        <v>Upper middle income</v>
      </c>
      <c r="H186" t="str">
        <f>VLOOKUP('Combined Data'!A:A,Table13[],3, FALSE)</f>
        <v>Latin America &amp; Caribbean</v>
      </c>
      <c r="I186" t="s">
        <v>28</v>
      </c>
    </row>
    <row r="187" spans="1:9" x14ac:dyDescent="0.3">
      <c r="A187" t="s">
        <v>223</v>
      </c>
      <c r="B187" s="1">
        <v>119.500106811523</v>
      </c>
      <c r="C187" s="1">
        <v>117.34763336181599</v>
      </c>
      <c r="D187" s="1">
        <v>116.42539215087901</v>
      </c>
      <c r="E187" s="1">
        <v>115.019523620605</v>
      </c>
      <c r="F187" s="1"/>
      <c r="G187" t="str">
        <f>VLOOKUP('Combined Data'!A:A,Table13[#All],4, FALSE)</f>
        <v>High income</v>
      </c>
      <c r="H187" t="str">
        <f>VLOOKUP('Combined Data'!A:A,Table13[],3, FALSE)</f>
        <v>Europe &amp; Central Asia</v>
      </c>
      <c r="I187" t="s">
        <v>29</v>
      </c>
    </row>
    <row r="188" spans="1:9" x14ac:dyDescent="0.3">
      <c r="A188" t="s">
        <v>224</v>
      </c>
      <c r="B188" s="1">
        <v>101.73171234130901</v>
      </c>
      <c r="C188" s="1">
        <v>101.478240966797</v>
      </c>
      <c r="D188" s="1">
        <v>101.363067626953</v>
      </c>
      <c r="E188" s="1">
        <v>102.282958984375</v>
      </c>
      <c r="F188" s="1"/>
      <c r="G188" t="str">
        <f>VLOOKUP('Combined Data'!A:A,Table13[#All],4, FALSE)</f>
        <v>High income</v>
      </c>
      <c r="H188" t="str">
        <f>VLOOKUP('Combined Data'!A:A,Table13[],3, FALSE)</f>
        <v>Europe &amp; Central Asia</v>
      </c>
      <c r="I188" t="s">
        <v>27</v>
      </c>
    </row>
    <row r="189" spans="1:9" x14ac:dyDescent="0.3">
      <c r="A189" t="s">
        <v>225</v>
      </c>
      <c r="B189" s="1">
        <v>70.377151489257798</v>
      </c>
      <c r="C189" s="1">
        <v>68.558868408203097</v>
      </c>
      <c r="D189" s="1">
        <v>72.129676818847699</v>
      </c>
      <c r="E189" s="1">
        <v>76.771049499511705</v>
      </c>
      <c r="F189" s="1">
        <v>81.411468505859403</v>
      </c>
      <c r="G189" t="str">
        <f>VLOOKUP('Combined Data'!A:A,Table13[#All],4, FALSE)</f>
        <v>Low income</v>
      </c>
      <c r="H189" t="str">
        <f>VLOOKUP('Combined Data'!A:A,Table13[],3, FALSE)</f>
        <v>Middle East, North Africa, Afghanistan &amp; Pakistan</v>
      </c>
      <c r="I189" t="s">
        <v>28</v>
      </c>
    </row>
    <row r="190" spans="1:9" x14ac:dyDescent="0.3">
      <c r="A190" t="s">
        <v>226</v>
      </c>
      <c r="B190" s="1">
        <v>100.40468774215201</v>
      </c>
      <c r="C190" s="1">
        <v>100.36873086238199</v>
      </c>
      <c r="D190" s="1">
        <v>99.966888601605504</v>
      </c>
      <c r="E190" s="1">
        <v>96.975926527023603</v>
      </c>
      <c r="F190" s="1">
        <v>95.757141161106503</v>
      </c>
      <c r="G190" t="str">
        <f>VLOOKUP('Combined Data'!A:A,Table13[#All],4, FALSE)</f>
        <v>Lower middle income</v>
      </c>
      <c r="H190" t="str">
        <f>VLOOKUP('Combined Data'!A:A,Table13[],3, FALSE)</f>
        <v>Europe &amp; Central Asia</v>
      </c>
      <c r="I190" t="s">
        <v>29</v>
      </c>
    </row>
    <row r="191" spans="1:9" x14ac:dyDescent="0.3">
      <c r="A191" t="s">
        <v>227</v>
      </c>
      <c r="B191" s="1">
        <v>98.575362240386895</v>
      </c>
      <c r="C191" s="1">
        <v>98.699954180417805</v>
      </c>
      <c r="D191" s="1">
        <v>90.615267228135806</v>
      </c>
      <c r="E191" s="1">
        <v>95.640980409320093</v>
      </c>
      <c r="F191" s="1">
        <v>92.690265426238099</v>
      </c>
      <c r="G191" t="str">
        <f>VLOOKUP('Combined Data'!A:A,Table13[#All],4, FALSE)</f>
        <v>Lower middle income</v>
      </c>
      <c r="H191" t="str">
        <f>VLOOKUP('Combined Data'!A:A,Table13[],3, FALSE)</f>
        <v>Sub-Saharan Africa</v>
      </c>
      <c r="I191" t="s">
        <v>27</v>
      </c>
    </row>
    <row r="192" spans="1:9" x14ac:dyDescent="0.3">
      <c r="A192" t="s">
        <v>228</v>
      </c>
      <c r="B192" s="1">
        <v>103.859900460568</v>
      </c>
      <c r="C192" s="1">
        <v>103.619796585158</v>
      </c>
      <c r="D192" s="1">
        <v>104.833004394528</v>
      </c>
      <c r="E192" s="1">
        <v>102.574975655738</v>
      </c>
      <c r="F192" s="1">
        <v>101.00422357360399</v>
      </c>
      <c r="G192" t="str">
        <f>VLOOKUP('Combined Data'!A:A,Table13[#All],4, FALSE)</f>
        <v>Upper middle income</v>
      </c>
      <c r="H192" t="str">
        <f>VLOOKUP('Combined Data'!A:A,Table13[],3, FALSE)</f>
        <v>East Asia &amp; Pacific</v>
      </c>
      <c r="I192" t="s">
        <v>28</v>
      </c>
    </row>
    <row r="193" spans="1:9" x14ac:dyDescent="0.3">
      <c r="A193" t="s">
        <v>229</v>
      </c>
      <c r="B193" s="1">
        <v>110.60670366742799</v>
      </c>
      <c r="C193" s="1">
        <v>123.584941487948</v>
      </c>
      <c r="D193" s="1">
        <v>119.03671932658099</v>
      </c>
      <c r="E193" s="1">
        <v>119.652693100113</v>
      </c>
      <c r="F193" s="1"/>
      <c r="G193" t="str">
        <f>VLOOKUP('Combined Data'!A:A,Table13[#All],4, FALSE)</f>
        <v>Lower middle income</v>
      </c>
      <c r="H193" t="str">
        <f>VLOOKUP('Combined Data'!A:A,Table13[],3, FALSE)</f>
        <v>East Asia &amp; Pacific</v>
      </c>
      <c r="I193" t="s">
        <v>29</v>
      </c>
    </row>
    <row r="194" spans="1:9" x14ac:dyDescent="0.3">
      <c r="A194" t="s">
        <v>230</v>
      </c>
      <c r="B194" s="1">
        <v>119.26683094876201</v>
      </c>
      <c r="C194" s="1">
        <v>116.971385859009</v>
      </c>
      <c r="D194" s="1">
        <v>118.42316752898</v>
      </c>
      <c r="E194" s="1">
        <v>116.335465545392</v>
      </c>
      <c r="F194" s="1">
        <v>114.272773524266</v>
      </c>
      <c r="G194" t="str">
        <f>VLOOKUP('Combined Data'!A:A,Table13[#All],4, FALSE)</f>
        <v>Low income</v>
      </c>
      <c r="H194" t="str">
        <f>VLOOKUP('Combined Data'!A:A,Table13[],3, FALSE)</f>
        <v>Sub-Saharan Africa</v>
      </c>
      <c r="I194" t="s">
        <v>27</v>
      </c>
    </row>
    <row r="195" spans="1:9" x14ac:dyDescent="0.3">
      <c r="A195" t="s">
        <v>231</v>
      </c>
      <c r="B195" s="1">
        <v>112.25483743583</v>
      </c>
      <c r="C195" s="1">
        <v>107.017315453717</v>
      </c>
      <c r="D195" s="1">
        <v>106.53573728267899</v>
      </c>
      <c r="E195" s="1">
        <v>109.61159104822799</v>
      </c>
      <c r="F195" s="1">
        <v>108.78998609179401</v>
      </c>
      <c r="G195" t="str">
        <f>VLOOKUP('Combined Data'!A:A,Table13[#All],4, FALSE)</f>
        <v>Upper middle income</v>
      </c>
      <c r="H195" t="str">
        <f>VLOOKUP('Combined Data'!A:A,Table13[],3, FALSE)</f>
        <v>East Asia &amp; Pacific</v>
      </c>
      <c r="I195" t="s">
        <v>28</v>
      </c>
    </row>
    <row r="196" spans="1:9" x14ac:dyDescent="0.3">
      <c r="A196" t="s">
        <v>232</v>
      </c>
      <c r="B196" s="1"/>
      <c r="C196" s="1"/>
      <c r="D196" s="1"/>
      <c r="E196" s="1">
        <v>99.188758850097699</v>
      </c>
      <c r="F196" s="1"/>
      <c r="G196" t="str">
        <f>VLOOKUP('Combined Data'!A:A,Table13[#All],4, FALSE)</f>
        <v>High income</v>
      </c>
      <c r="H196" t="str">
        <f>VLOOKUP('Combined Data'!A:A,Table13[],3, FALSE)</f>
        <v>Latin America &amp; Caribbean</v>
      </c>
      <c r="I196" t="s">
        <v>29</v>
      </c>
    </row>
    <row r="197" spans="1:9" x14ac:dyDescent="0.3">
      <c r="A197" t="s">
        <v>233</v>
      </c>
      <c r="B197" s="1">
        <v>103.975509643555</v>
      </c>
      <c r="C197" s="1">
        <v>104.34262847900401</v>
      </c>
      <c r="D197" s="1">
        <v>104.06365203857401</v>
      </c>
      <c r="E197" s="1">
        <v>104.42421722412099</v>
      </c>
      <c r="F197" s="1"/>
      <c r="G197" t="str">
        <f>VLOOKUP('Combined Data'!A:A,Table13[#All],4, FALSE)</f>
        <v>Lower middle income</v>
      </c>
      <c r="H197" t="str">
        <f>VLOOKUP('Combined Data'!A:A,Table13[],3, FALSE)</f>
        <v>Middle East, North Africa, Afghanistan &amp; Pakistan</v>
      </c>
      <c r="I197" t="s">
        <v>27</v>
      </c>
    </row>
    <row r="198" spans="1:9" x14ac:dyDescent="0.3">
      <c r="A198" t="s">
        <v>234</v>
      </c>
      <c r="B198" s="1">
        <v>103.296417236328</v>
      </c>
      <c r="C198" s="1">
        <v>102.596397399902</v>
      </c>
      <c r="D198" s="1">
        <v>102.48770141601599</v>
      </c>
      <c r="E198" s="1"/>
      <c r="F198" s="1"/>
      <c r="G198" t="str">
        <f>VLOOKUP('Combined Data'!A:A,Table13[#All],4, FALSE)</f>
        <v>Upper middle income</v>
      </c>
      <c r="H198" t="str">
        <f>VLOOKUP('Combined Data'!A:A,Table13[],3, FALSE)</f>
        <v>Europe &amp; Central Asia</v>
      </c>
      <c r="I198" t="s">
        <v>28</v>
      </c>
    </row>
    <row r="199" spans="1:9" x14ac:dyDescent="0.3">
      <c r="A199" t="s">
        <v>235</v>
      </c>
      <c r="B199" s="1">
        <v>100.048094898202</v>
      </c>
      <c r="C199" s="1">
        <v>99.148014910553002</v>
      </c>
      <c r="D199" s="1">
        <v>97.810129564193204</v>
      </c>
      <c r="E199" s="1">
        <v>97.341891416248998</v>
      </c>
      <c r="F199" s="1">
        <v>95.692177546261902</v>
      </c>
      <c r="G199" t="str">
        <f>VLOOKUP('Combined Data'!A:A,Table13[#All],4, FALSE)</f>
        <v>Upper middle income</v>
      </c>
      <c r="H199" t="str">
        <f>VLOOKUP('Combined Data'!A:A,Table13[],3, FALSE)</f>
        <v>Europe &amp; Central Asia</v>
      </c>
      <c r="I199" t="s">
        <v>29</v>
      </c>
    </row>
    <row r="200" spans="1:9" x14ac:dyDescent="0.3">
      <c r="A200" t="s">
        <v>236</v>
      </c>
      <c r="B200" s="1">
        <v>122.129144851658</v>
      </c>
      <c r="C200" s="1">
        <v>119.73126220703099</v>
      </c>
      <c r="D200" s="1">
        <v>120.81704711914099</v>
      </c>
      <c r="E200" s="1">
        <v>124.371236273468</v>
      </c>
      <c r="F200" s="1">
        <v>125.059584610146</v>
      </c>
      <c r="G200" t="str">
        <f>VLOOKUP('Combined Data'!A:A,Table13[#All],4, FALSE)</f>
        <v>High income</v>
      </c>
      <c r="H200" t="str">
        <f>VLOOKUP('Combined Data'!A:A,Table13[],3, FALSE)</f>
        <v>Latin America &amp; Caribbean</v>
      </c>
      <c r="I200" t="s">
        <v>27</v>
      </c>
    </row>
    <row r="201" spans="1:9" x14ac:dyDescent="0.3">
      <c r="A201" t="s">
        <v>237</v>
      </c>
      <c r="B201" s="1">
        <v>102.034664657121</v>
      </c>
      <c r="C201" s="1">
        <v>113.292117465224</v>
      </c>
      <c r="D201" s="1">
        <v>110.604870384918</v>
      </c>
      <c r="E201" s="1">
        <v>108.909370199693</v>
      </c>
      <c r="F201" s="1">
        <v>101.138952164009</v>
      </c>
      <c r="G201" t="str">
        <f>VLOOKUP('Combined Data'!A:A,Table13[#All],4, FALSE)</f>
        <v>Upper middle income</v>
      </c>
      <c r="H201" t="str">
        <f>VLOOKUP('Combined Data'!A:A,Table13[],3, FALSE)</f>
        <v>East Asia &amp; Pacific</v>
      </c>
      <c r="I201" t="s">
        <v>28</v>
      </c>
    </row>
    <row r="202" spans="1:9" x14ac:dyDescent="0.3">
      <c r="A202" t="s">
        <v>238</v>
      </c>
      <c r="B202" s="1"/>
      <c r="C202" s="1"/>
      <c r="D202" s="1"/>
      <c r="E202" s="1"/>
      <c r="F202" s="1"/>
      <c r="G202" t="str">
        <f>VLOOKUP('Combined Data'!A:A,Table13[#All],4, FALSE)</f>
        <v>Low income</v>
      </c>
      <c r="H202" t="str">
        <f>VLOOKUP('Combined Data'!A:A,Table13[],3, FALSE)</f>
        <v>Sub-Saharan Africa</v>
      </c>
      <c r="I202" t="s">
        <v>29</v>
      </c>
    </row>
    <row r="203" spans="1:9" x14ac:dyDescent="0.3">
      <c r="A203" t="s">
        <v>239</v>
      </c>
      <c r="B203" s="1">
        <v>91.112213449300697</v>
      </c>
      <c r="C203" s="1">
        <v>91.148704724642798</v>
      </c>
      <c r="D203" s="1">
        <v>92.771163449363399</v>
      </c>
      <c r="E203" s="1"/>
      <c r="F203" s="1">
        <v>93.306319036135605</v>
      </c>
      <c r="G203" t="str">
        <f>VLOOKUP('Combined Data'!A:A,Table13[#All],4, FALSE)</f>
        <v>Upper middle income</v>
      </c>
      <c r="H203" t="str">
        <f>VLOOKUP('Combined Data'!A:A,Table13[],3, FALSE)</f>
        <v>Europe &amp; Central Asia</v>
      </c>
      <c r="I203" t="s">
        <v>27</v>
      </c>
    </row>
    <row r="204" spans="1:9" x14ac:dyDescent="0.3">
      <c r="A204" t="s">
        <v>240</v>
      </c>
      <c r="B204" s="1">
        <v>108.069803864287</v>
      </c>
      <c r="C204" s="1">
        <v>106.652834923572</v>
      </c>
      <c r="D204" s="1">
        <v>107.28743152738799</v>
      </c>
      <c r="E204" s="1">
        <v>106.25995030356199</v>
      </c>
      <c r="F204" s="1">
        <v>108.04442061785799</v>
      </c>
      <c r="G204" t="str">
        <f>VLOOKUP('Combined Data'!A:A,Table13[#All],4, FALSE)</f>
        <v>High income</v>
      </c>
      <c r="H204" t="str">
        <f>VLOOKUP('Combined Data'!A:A,Table13[],3, FALSE)</f>
        <v>Middle East, North Africa, Afghanistan &amp; Pakistan</v>
      </c>
      <c r="I204" t="s">
        <v>28</v>
      </c>
    </row>
    <row r="205" spans="1:9" x14ac:dyDescent="0.3">
      <c r="A205" t="s">
        <v>241</v>
      </c>
      <c r="B205" s="1">
        <v>102.22395324707</v>
      </c>
      <c r="C205" s="1">
        <v>102.194450378418</v>
      </c>
      <c r="D205" s="1">
        <v>102.53524017334</v>
      </c>
      <c r="E205" s="1">
        <v>102.555801391602</v>
      </c>
      <c r="F205" s="1"/>
      <c r="G205" t="str">
        <f>VLOOKUP('Combined Data'!A:A,Table13[#All],4, FALSE)</f>
        <v>High income</v>
      </c>
      <c r="H205" t="str">
        <f>VLOOKUP('Combined Data'!A:A,Table13[],3, FALSE)</f>
        <v>Europe &amp; Central Asia</v>
      </c>
      <c r="I205" t="s">
        <v>29</v>
      </c>
    </row>
    <row r="206" spans="1:9" x14ac:dyDescent="0.3">
      <c r="A206" t="s">
        <v>242</v>
      </c>
      <c r="B206" s="1">
        <v>100.305793762207</v>
      </c>
      <c r="C206" s="1">
        <v>98.305488586425795</v>
      </c>
      <c r="D206" s="1">
        <v>96.971733093261705</v>
      </c>
      <c r="E206" s="1"/>
      <c r="F206" s="1"/>
      <c r="G206" t="str">
        <f>VLOOKUP('Combined Data'!A:A,Table13[#All],4, FALSE)</f>
        <v>High income</v>
      </c>
      <c r="H206" t="str">
        <f>VLOOKUP('Combined Data'!A:A,Table13[],3, FALSE)</f>
        <v>North America</v>
      </c>
      <c r="I206" t="s">
        <v>27</v>
      </c>
    </row>
    <row r="207" spans="1:9" x14ac:dyDescent="0.3">
      <c r="A207" t="s">
        <v>243</v>
      </c>
      <c r="B207" s="1">
        <v>105.236604559537</v>
      </c>
      <c r="C207" s="1">
        <v>107.99080657959</v>
      </c>
      <c r="D207" s="1">
        <v>108.822761535645</v>
      </c>
      <c r="E207" s="1">
        <v>104.532465643859</v>
      </c>
      <c r="F207" s="1"/>
      <c r="G207" t="str">
        <f>VLOOKUP('Combined Data'!A:A,Table13[#All],4, FALSE)</f>
        <v>High income</v>
      </c>
      <c r="H207" t="str">
        <f>VLOOKUP('Combined Data'!A:A,Table13[],3, FALSE)</f>
        <v>Latin America &amp; Caribbean</v>
      </c>
      <c r="I207" t="s">
        <v>28</v>
      </c>
    </row>
    <row r="208" spans="1:9" x14ac:dyDescent="0.3">
      <c r="A208" t="s">
        <v>244</v>
      </c>
      <c r="B208" s="1">
        <v>98.615310525126006</v>
      </c>
      <c r="C208" s="1">
        <v>97.928925584927896</v>
      </c>
      <c r="D208" s="1">
        <v>93.909978029013899</v>
      </c>
      <c r="E208" s="1">
        <v>93.488825922536705</v>
      </c>
      <c r="F208" s="1">
        <v>94.431670066414895</v>
      </c>
      <c r="G208" t="str">
        <f>VLOOKUP('Combined Data'!A:A,Table13[#All],4, FALSE)</f>
        <v>Lower middle income</v>
      </c>
      <c r="H208" t="str">
        <f>VLOOKUP('Combined Data'!A:A,Table13[],3, FALSE)</f>
        <v>Europe &amp; Central Asia</v>
      </c>
      <c r="I208" t="s">
        <v>29</v>
      </c>
    </row>
    <row r="209" spans="1:9" x14ac:dyDescent="0.3">
      <c r="A209" t="s">
        <v>245</v>
      </c>
      <c r="B209" s="1">
        <v>125.124809265137</v>
      </c>
      <c r="C209" s="1">
        <v>122.872890234772</v>
      </c>
      <c r="D209" s="1">
        <v>118.36653235534899</v>
      </c>
      <c r="E209" s="1">
        <v>113.170782080259</v>
      </c>
      <c r="F209" s="1">
        <v>112.491972007523</v>
      </c>
      <c r="G209" t="str">
        <f>VLOOKUP('Combined Data'!A:A,Table13[#All],4, FALSE)</f>
        <v>Lower middle income</v>
      </c>
      <c r="H209" t="str">
        <f>VLOOKUP('Combined Data'!A:A,Table13[],3, FALSE)</f>
        <v>East Asia &amp; Pacific</v>
      </c>
      <c r="I209" t="s">
        <v>27</v>
      </c>
    </row>
    <row r="210" spans="1:9" x14ac:dyDescent="0.3">
      <c r="A210" t="s">
        <v>246</v>
      </c>
      <c r="B210" s="1"/>
      <c r="C210" s="1"/>
      <c r="D210" s="1">
        <v>109.259559631348</v>
      </c>
      <c r="E210" s="1">
        <v>111.130409240723</v>
      </c>
      <c r="F210" s="1">
        <v>113.693878173828</v>
      </c>
      <c r="G210" t="str">
        <f>VLOOKUP('Combined Data'!A:A,Table13[#All],4, FALSE)</f>
        <v>Low income</v>
      </c>
      <c r="H210" t="str">
        <f>VLOOKUP('Combined Data'!A:A,Table13[],3, FALSE)</f>
        <v>Latin America &amp; Caribbean</v>
      </c>
      <c r="I210" t="s">
        <v>28</v>
      </c>
    </row>
    <row r="211" spans="1:9" x14ac:dyDescent="0.3">
      <c r="A211" t="s">
        <v>247</v>
      </c>
      <c r="B211" s="1">
        <v>102.847744602601</v>
      </c>
      <c r="C211" s="1">
        <v>103.39128272388101</v>
      </c>
      <c r="D211" s="1">
        <v>104.12939278594899</v>
      </c>
      <c r="E211" s="1">
        <v>105.170807361038</v>
      </c>
      <c r="F211" s="1">
        <v>106.332886485835</v>
      </c>
      <c r="G211" t="str">
        <f>VLOOKUP('Combined Data'!A:A,Table13[#All],4, FALSE)</f>
        <v>Lower middle income</v>
      </c>
      <c r="H211" t="str">
        <f>VLOOKUP('Combined Data'!A:A,Table13[],3, FALSE)</f>
        <v>East Asia &amp; Pacific</v>
      </c>
      <c r="I211" t="s">
        <v>29</v>
      </c>
    </row>
    <row r="212" spans="1:9" x14ac:dyDescent="0.3">
      <c r="A212" t="s">
        <v>248</v>
      </c>
      <c r="B212" s="1"/>
      <c r="C212" s="1"/>
      <c r="D212" s="1"/>
      <c r="E212" s="1"/>
      <c r="F212" s="1"/>
      <c r="G212" t="str">
        <f>VLOOKUP('Combined Data'!A:A,Table13[#All],4, FALSE)</f>
        <v>High income</v>
      </c>
      <c r="H212" t="str">
        <f>VLOOKUP('Combined Data'!A:A,Table13[],3, FALSE)</f>
        <v>Latin America &amp; Caribbean</v>
      </c>
      <c r="I212" t="s">
        <v>27</v>
      </c>
    </row>
    <row r="213" spans="1:9" x14ac:dyDescent="0.3">
      <c r="A213" t="s">
        <v>249</v>
      </c>
      <c r="B213" s="1">
        <v>94.653084809437999</v>
      </c>
      <c r="C213" s="1">
        <v>92.702990938681495</v>
      </c>
      <c r="D213" s="1">
        <v>91.451637200505999</v>
      </c>
      <c r="E213" s="1">
        <v>91.442236115330601</v>
      </c>
      <c r="F213" s="1"/>
      <c r="G213" t="str">
        <f>VLOOKUP('Combined Data'!A:A,Table13[#All],4, FALSE)</f>
        <v>Lower middle income</v>
      </c>
      <c r="H213" t="str">
        <f>VLOOKUP('Combined Data'!A:A,Table13[],3, FALSE)</f>
        <v>Middle East, North Africa, Afghanistan &amp; Pakistan</v>
      </c>
      <c r="I213" t="s">
        <v>28</v>
      </c>
    </row>
    <row r="214" spans="1:9" x14ac:dyDescent="0.3">
      <c r="A214" t="s">
        <v>250</v>
      </c>
      <c r="B214" s="1"/>
      <c r="C214" s="1"/>
      <c r="D214" s="1"/>
      <c r="E214" s="1"/>
      <c r="F214" s="1"/>
      <c r="G214" t="str">
        <f>VLOOKUP('Combined Data'!A:A,Table13[#All],4, FALSE)</f>
        <v>Low income</v>
      </c>
      <c r="H214" t="str">
        <f>VLOOKUP('Combined Data'!A:A,Table13[],3, FALSE)</f>
        <v>Middle East, North Africa, Afghanistan &amp; Pakistan</v>
      </c>
      <c r="I214" t="s">
        <v>29</v>
      </c>
    </row>
    <row r="215" spans="1:9" x14ac:dyDescent="0.3">
      <c r="A215" t="s">
        <v>251</v>
      </c>
      <c r="B215" s="1"/>
      <c r="C215" s="1"/>
      <c r="D215" s="1"/>
      <c r="E215" s="1"/>
      <c r="F215" s="1">
        <v>115.550919335782</v>
      </c>
      <c r="G215" t="str">
        <f>VLOOKUP('Combined Data'!A:A,Table13[#All],4, FALSE)</f>
        <v>Lower middle income</v>
      </c>
      <c r="H215" t="str">
        <f>VLOOKUP('Combined Data'!A:A,Table13[],3, FALSE)</f>
        <v>Sub-Saharan Africa</v>
      </c>
      <c r="I215" t="s">
        <v>27</v>
      </c>
    </row>
    <row r="216" spans="1:9" x14ac:dyDescent="0.3">
      <c r="A216" t="s">
        <v>252</v>
      </c>
      <c r="B216" s="1">
        <v>93.612585563932498</v>
      </c>
      <c r="C216" s="1">
        <v>92.784690581579099</v>
      </c>
      <c r="D216" s="1">
        <v>93.165965873193699</v>
      </c>
      <c r="E216" s="1">
        <v>93.238378774293807</v>
      </c>
      <c r="F216" s="1">
        <v>93.077211033441401</v>
      </c>
      <c r="G216" t="str">
        <f>VLOOKUP('Combined Data'!A:A,Table13[#All],4, FALSE)</f>
        <v>Lower middle income</v>
      </c>
      <c r="H216" t="str">
        <f>VLOOKUP('Combined Data'!A:A,Table13[],3, FALSE)</f>
        <v>Sub-Saharan Africa</v>
      </c>
      <c r="I216" t="s">
        <v>28</v>
      </c>
    </row>
  </sheetData>
  <pageMargins left="0.7" right="0.7" top="0.75" bottom="0.75" header="0.3" footer="0.3"/>
  <headerFooter>
    <oddFooter>&amp;R_x000D_&amp;1#&amp;"Aptos"&amp;10&amp;K000000 Official Use Only</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A8EE-3E84-4E51-9BBC-5E53F4993B8C}">
  <dimension ref="A1:D219"/>
  <sheetViews>
    <sheetView topLeftCell="A150" workbookViewId="0">
      <selection activeCell="A167" sqref="A167"/>
    </sheetView>
  </sheetViews>
  <sheetFormatPr defaultRowHeight="14.4" x14ac:dyDescent="0.3"/>
  <cols>
    <col min="4" max="4" width="17.88671875" bestFit="1" customWidth="1"/>
  </cols>
  <sheetData>
    <row r="1" spans="1:4" x14ac:dyDescent="0.3">
      <c r="A1" s="9" t="s">
        <v>253</v>
      </c>
      <c r="B1" s="9" t="s">
        <v>254</v>
      </c>
      <c r="C1" s="10" t="s">
        <v>36</v>
      </c>
      <c r="D1" s="10" t="s">
        <v>255</v>
      </c>
    </row>
    <row r="2" spans="1:4" x14ac:dyDescent="0.3">
      <c r="A2" t="s">
        <v>38</v>
      </c>
      <c r="B2" t="s">
        <v>256</v>
      </c>
      <c r="C2" s="11" t="s">
        <v>20</v>
      </c>
      <c r="D2" s="12" t="s">
        <v>10</v>
      </c>
    </row>
    <row r="3" spans="1:4" x14ac:dyDescent="0.3">
      <c r="A3" t="s">
        <v>39</v>
      </c>
      <c r="B3" t="s">
        <v>257</v>
      </c>
      <c r="C3" s="12" t="s">
        <v>18</v>
      </c>
      <c r="D3" s="12" t="s">
        <v>12</v>
      </c>
    </row>
    <row r="4" spans="1:4" x14ac:dyDescent="0.3">
      <c r="A4" t="s">
        <v>40</v>
      </c>
      <c r="B4" t="s">
        <v>258</v>
      </c>
      <c r="C4" s="12" t="s">
        <v>20</v>
      </c>
      <c r="D4" s="12" t="s">
        <v>12</v>
      </c>
    </row>
    <row r="5" spans="1:4" x14ac:dyDescent="0.3">
      <c r="A5" t="s">
        <v>41</v>
      </c>
      <c r="B5" t="s">
        <v>259</v>
      </c>
      <c r="C5" s="12" t="s">
        <v>17</v>
      </c>
      <c r="D5" s="12" t="s">
        <v>9</v>
      </c>
    </row>
    <row r="6" spans="1:4" x14ac:dyDescent="0.3">
      <c r="A6" t="s">
        <v>42</v>
      </c>
      <c r="B6" t="s">
        <v>260</v>
      </c>
      <c r="C6" s="12" t="s">
        <v>18</v>
      </c>
      <c r="D6" s="12" t="s">
        <v>9</v>
      </c>
    </row>
    <row r="7" spans="1:4" x14ac:dyDescent="0.3">
      <c r="A7" t="s">
        <v>43</v>
      </c>
      <c r="B7" t="s">
        <v>261</v>
      </c>
      <c r="C7" s="12" t="s">
        <v>23</v>
      </c>
      <c r="D7" s="12" t="s">
        <v>11</v>
      </c>
    </row>
    <row r="8" spans="1:4" x14ac:dyDescent="0.3">
      <c r="A8" t="s">
        <v>44</v>
      </c>
      <c r="B8" t="s">
        <v>262</v>
      </c>
      <c r="C8" s="12" t="s">
        <v>19</v>
      </c>
      <c r="D8" s="12" t="s">
        <v>9</v>
      </c>
    </row>
    <row r="9" spans="1:4" x14ac:dyDescent="0.3">
      <c r="A9" t="s">
        <v>45</v>
      </c>
      <c r="B9" t="s">
        <v>263</v>
      </c>
      <c r="C9" s="12" t="s">
        <v>19</v>
      </c>
      <c r="D9" s="12" t="s">
        <v>12</v>
      </c>
    </row>
    <row r="10" spans="1:4" x14ac:dyDescent="0.3">
      <c r="A10" t="s">
        <v>46</v>
      </c>
      <c r="B10" t="s">
        <v>264</v>
      </c>
      <c r="C10" s="12" t="s">
        <v>18</v>
      </c>
      <c r="D10" s="12" t="s">
        <v>12</v>
      </c>
    </row>
    <row r="11" spans="1:4" x14ac:dyDescent="0.3">
      <c r="A11" t="s">
        <v>47</v>
      </c>
      <c r="B11" t="s">
        <v>265</v>
      </c>
      <c r="C11" s="12" t="s">
        <v>19</v>
      </c>
      <c r="D11" s="12" t="s">
        <v>9</v>
      </c>
    </row>
    <row r="12" spans="1:4" x14ac:dyDescent="0.3">
      <c r="A12" t="s">
        <v>48</v>
      </c>
      <c r="B12" t="s">
        <v>266</v>
      </c>
      <c r="C12" s="12" t="s">
        <v>17</v>
      </c>
      <c r="D12" s="12" t="s">
        <v>9</v>
      </c>
    </row>
    <row r="13" spans="1:4" x14ac:dyDescent="0.3">
      <c r="A13" t="s">
        <v>49</v>
      </c>
      <c r="B13" t="s">
        <v>267</v>
      </c>
      <c r="C13" s="12" t="s">
        <v>18</v>
      </c>
      <c r="D13" s="12" t="s">
        <v>9</v>
      </c>
    </row>
    <row r="14" spans="1:4" x14ac:dyDescent="0.3">
      <c r="A14" t="s">
        <v>50</v>
      </c>
      <c r="B14" t="s">
        <v>268</v>
      </c>
      <c r="C14" s="12" t="s">
        <v>18</v>
      </c>
      <c r="D14" s="12" t="s">
        <v>12</v>
      </c>
    </row>
    <row r="15" spans="1:4" x14ac:dyDescent="0.3">
      <c r="A15" t="s">
        <v>51</v>
      </c>
      <c r="B15" t="s">
        <v>269</v>
      </c>
      <c r="C15" s="12" t="s">
        <v>19</v>
      </c>
      <c r="D15" s="12" t="s">
        <v>9</v>
      </c>
    </row>
    <row r="16" spans="1:4" x14ac:dyDescent="0.3">
      <c r="A16" t="s">
        <v>52</v>
      </c>
      <c r="B16" t="s">
        <v>270</v>
      </c>
      <c r="C16" s="12" t="s">
        <v>20</v>
      </c>
      <c r="D16" s="12" t="s">
        <v>9</v>
      </c>
    </row>
    <row r="17" spans="1:4" x14ac:dyDescent="0.3">
      <c r="A17" t="s">
        <v>53</v>
      </c>
      <c r="B17" t="s">
        <v>271</v>
      </c>
      <c r="C17" s="12" t="s">
        <v>22</v>
      </c>
      <c r="D17" s="12" t="s">
        <v>11</v>
      </c>
    </row>
    <row r="18" spans="1:4" x14ac:dyDescent="0.3">
      <c r="A18" t="s">
        <v>54</v>
      </c>
      <c r="B18" t="s">
        <v>272</v>
      </c>
      <c r="C18" s="12" t="s">
        <v>19</v>
      </c>
      <c r="D18" s="12" t="s">
        <v>9</v>
      </c>
    </row>
    <row r="19" spans="1:4" x14ac:dyDescent="0.3">
      <c r="A19" t="s">
        <v>55</v>
      </c>
      <c r="B19" t="s">
        <v>273</v>
      </c>
      <c r="C19" s="12" t="s">
        <v>18</v>
      </c>
      <c r="D19" s="12" t="s">
        <v>12</v>
      </c>
    </row>
    <row r="20" spans="1:4" x14ac:dyDescent="0.3">
      <c r="A20" t="s">
        <v>56</v>
      </c>
      <c r="B20" t="s">
        <v>274</v>
      </c>
      <c r="C20" s="12" t="s">
        <v>18</v>
      </c>
      <c r="D20" s="12" t="s">
        <v>9</v>
      </c>
    </row>
    <row r="21" spans="1:4" x14ac:dyDescent="0.3">
      <c r="A21" t="s">
        <v>57</v>
      </c>
      <c r="B21" t="s">
        <v>275</v>
      </c>
      <c r="C21" s="12" t="s">
        <v>19</v>
      </c>
      <c r="D21" s="12" t="s">
        <v>12</v>
      </c>
    </row>
    <row r="22" spans="1:4" x14ac:dyDescent="0.3">
      <c r="A22" t="s">
        <v>58</v>
      </c>
      <c r="B22" t="s">
        <v>276</v>
      </c>
      <c r="C22" s="12" t="s">
        <v>23</v>
      </c>
      <c r="D22" s="12" t="s">
        <v>11</v>
      </c>
    </row>
    <row r="23" spans="1:4" x14ac:dyDescent="0.3">
      <c r="A23" t="s">
        <v>59</v>
      </c>
      <c r="B23" t="s">
        <v>277</v>
      </c>
      <c r="C23" s="12" t="s">
        <v>21</v>
      </c>
      <c r="D23" s="12" t="s">
        <v>9</v>
      </c>
    </row>
    <row r="24" spans="1:4" x14ac:dyDescent="0.3">
      <c r="A24" t="s">
        <v>60</v>
      </c>
      <c r="B24" t="s">
        <v>278</v>
      </c>
      <c r="C24" s="12" t="s">
        <v>22</v>
      </c>
      <c r="D24" s="12" t="s">
        <v>11</v>
      </c>
    </row>
    <row r="25" spans="1:4" x14ac:dyDescent="0.3">
      <c r="A25" t="s">
        <v>61</v>
      </c>
      <c r="B25" t="s">
        <v>279</v>
      </c>
      <c r="C25" s="12" t="s">
        <v>19</v>
      </c>
      <c r="D25" s="12" t="s">
        <v>11</v>
      </c>
    </row>
    <row r="26" spans="1:4" x14ac:dyDescent="0.3">
      <c r="A26" t="s">
        <v>62</v>
      </c>
      <c r="B26" t="s">
        <v>280</v>
      </c>
      <c r="C26" s="12" t="s">
        <v>18</v>
      </c>
      <c r="D26" s="12" t="s">
        <v>12</v>
      </c>
    </row>
    <row r="27" spans="1:4" x14ac:dyDescent="0.3">
      <c r="A27" t="s">
        <v>63</v>
      </c>
      <c r="B27" t="s">
        <v>281</v>
      </c>
      <c r="C27" s="12" t="s">
        <v>23</v>
      </c>
      <c r="D27" s="12" t="s">
        <v>12</v>
      </c>
    </row>
    <row r="28" spans="1:4" x14ac:dyDescent="0.3">
      <c r="A28" t="s">
        <v>64</v>
      </c>
      <c r="B28" t="s">
        <v>282</v>
      </c>
      <c r="C28" s="12" t="s">
        <v>19</v>
      </c>
      <c r="D28" s="12" t="s">
        <v>12</v>
      </c>
    </row>
    <row r="29" spans="1:4" x14ac:dyDescent="0.3">
      <c r="A29" t="s">
        <v>65</v>
      </c>
      <c r="B29" t="s">
        <v>283</v>
      </c>
      <c r="C29" s="12" t="s">
        <v>19</v>
      </c>
      <c r="D29" s="12" t="s">
        <v>9</v>
      </c>
    </row>
    <row r="30" spans="1:4" x14ac:dyDescent="0.3">
      <c r="A30" t="s">
        <v>66</v>
      </c>
      <c r="B30" t="s">
        <v>284</v>
      </c>
      <c r="C30" s="12" t="s">
        <v>17</v>
      </c>
      <c r="D30" s="12" t="s">
        <v>9</v>
      </c>
    </row>
    <row r="31" spans="1:4" x14ac:dyDescent="0.3">
      <c r="A31" t="s">
        <v>67</v>
      </c>
      <c r="B31" t="s">
        <v>285</v>
      </c>
      <c r="C31" s="12" t="s">
        <v>18</v>
      </c>
      <c r="D31" s="12" t="s">
        <v>9</v>
      </c>
    </row>
    <row r="32" spans="1:4" x14ac:dyDescent="0.3">
      <c r="A32" t="s">
        <v>68</v>
      </c>
      <c r="B32" t="s">
        <v>286</v>
      </c>
      <c r="C32" s="12" t="s">
        <v>23</v>
      </c>
      <c r="D32" s="12" t="s">
        <v>10</v>
      </c>
    </row>
    <row r="33" spans="1:4" x14ac:dyDescent="0.3">
      <c r="A33" t="s">
        <v>69</v>
      </c>
      <c r="B33" t="s">
        <v>287</v>
      </c>
      <c r="C33" s="12" t="s">
        <v>23</v>
      </c>
      <c r="D33" s="12" t="s">
        <v>10</v>
      </c>
    </row>
    <row r="34" spans="1:4" x14ac:dyDescent="0.3">
      <c r="A34" t="s">
        <v>70</v>
      </c>
      <c r="B34" t="s">
        <v>288</v>
      </c>
      <c r="C34" s="12" t="s">
        <v>23</v>
      </c>
      <c r="D34" s="11" t="s">
        <v>12</v>
      </c>
    </row>
    <row r="35" spans="1:4" x14ac:dyDescent="0.3">
      <c r="A35" t="s">
        <v>71</v>
      </c>
      <c r="B35" t="s">
        <v>289</v>
      </c>
      <c r="C35" s="12" t="s">
        <v>17</v>
      </c>
      <c r="D35" s="12" t="s">
        <v>11</v>
      </c>
    </row>
    <row r="36" spans="1:4" x14ac:dyDescent="0.3">
      <c r="A36" t="s">
        <v>72</v>
      </c>
      <c r="B36" t="s">
        <v>290</v>
      </c>
      <c r="C36" s="12" t="s">
        <v>23</v>
      </c>
      <c r="D36" s="12" t="s">
        <v>11</v>
      </c>
    </row>
    <row r="37" spans="1:4" x14ac:dyDescent="0.3">
      <c r="A37" t="s">
        <v>73</v>
      </c>
      <c r="B37" t="s">
        <v>291</v>
      </c>
      <c r="C37" s="12" t="s">
        <v>21</v>
      </c>
      <c r="D37" s="12" t="s">
        <v>9</v>
      </c>
    </row>
    <row r="38" spans="1:4" x14ac:dyDescent="0.3">
      <c r="A38" t="s">
        <v>74</v>
      </c>
      <c r="B38" t="s">
        <v>292</v>
      </c>
      <c r="C38" s="12" t="s">
        <v>19</v>
      </c>
      <c r="D38" s="12" t="s">
        <v>9</v>
      </c>
    </row>
    <row r="39" spans="1:4" x14ac:dyDescent="0.3">
      <c r="A39" t="s">
        <v>75</v>
      </c>
      <c r="B39" t="s">
        <v>293</v>
      </c>
      <c r="C39" s="12" t="s">
        <v>23</v>
      </c>
      <c r="D39" s="12" t="s">
        <v>10</v>
      </c>
    </row>
    <row r="40" spans="1:4" x14ac:dyDescent="0.3">
      <c r="A40" t="s">
        <v>76</v>
      </c>
      <c r="B40" t="s">
        <v>294</v>
      </c>
      <c r="C40" s="12" t="s">
        <v>23</v>
      </c>
      <c r="D40" s="12" t="s">
        <v>10</v>
      </c>
    </row>
    <row r="41" spans="1:4" x14ac:dyDescent="0.3">
      <c r="A41" t="s">
        <v>77</v>
      </c>
      <c r="B41" t="s">
        <v>295</v>
      </c>
      <c r="C41" s="12" t="s">
        <v>18</v>
      </c>
      <c r="D41" s="12" t="s">
        <v>9</v>
      </c>
    </row>
    <row r="42" spans="1:4" x14ac:dyDescent="0.3">
      <c r="A42" t="s">
        <v>78</v>
      </c>
      <c r="B42" t="s">
        <v>296</v>
      </c>
      <c r="C42" s="12" t="s">
        <v>19</v>
      </c>
      <c r="D42" s="12" t="s">
        <v>9</v>
      </c>
    </row>
    <row r="43" spans="1:4" x14ac:dyDescent="0.3">
      <c r="A43" t="s">
        <v>79</v>
      </c>
      <c r="B43" t="s">
        <v>297</v>
      </c>
      <c r="C43" s="12" t="s">
        <v>17</v>
      </c>
      <c r="D43" s="12" t="s">
        <v>12</v>
      </c>
    </row>
    <row r="44" spans="1:4" x14ac:dyDescent="0.3">
      <c r="A44" t="s">
        <v>80</v>
      </c>
      <c r="B44" t="s">
        <v>298</v>
      </c>
      <c r="C44" s="12" t="s">
        <v>19</v>
      </c>
      <c r="D44" s="12" t="s">
        <v>12</v>
      </c>
    </row>
    <row r="45" spans="1:4" x14ac:dyDescent="0.3">
      <c r="A45" t="s">
        <v>81</v>
      </c>
      <c r="B45" t="s">
        <v>299</v>
      </c>
      <c r="C45" s="12" t="s">
        <v>23</v>
      </c>
      <c r="D45" s="12" t="s">
        <v>11</v>
      </c>
    </row>
    <row r="46" spans="1:4" x14ac:dyDescent="0.3">
      <c r="A46" t="s">
        <v>82</v>
      </c>
      <c r="B46" t="s">
        <v>300</v>
      </c>
      <c r="C46" s="12" t="s">
        <v>23</v>
      </c>
      <c r="D46" s="12" t="s">
        <v>10</v>
      </c>
    </row>
    <row r="47" spans="1:4" x14ac:dyDescent="0.3">
      <c r="A47" t="s">
        <v>83</v>
      </c>
      <c r="B47" t="s">
        <v>301</v>
      </c>
      <c r="C47" s="12" t="s">
        <v>23</v>
      </c>
      <c r="D47" s="12" t="s">
        <v>11</v>
      </c>
    </row>
    <row r="48" spans="1:4" x14ac:dyDescent="0.3">
      <c r="A48" t="s">
        <v>84</v>
      </c>
      <c r="B48" t="s">
        <v>302</v>
      </c>
      <c r="C48" s="12" t="s">
        <v>19</v>
      </c>
      <c r="D48" s="11" t="s">
        <v>9</v>
      </c>
    </row>
    <row r="49" spans="1:4" x14ac:dyDescent="0.3">
      <c r="A49" t="s">
        <v>85</v>
      </c>
      <c r="B49" t="s">
        <v>303</v>
      </c>
      <c r="C49" s="12" t="s">
        <v>23</v>
      </c>
      <c r="D49" s="12" t="s">
        <v>11</v>
      </c>
    </row>
    <row r="50" spans="1:4" x14ac:dyDescent="0.3">
      <c r="A50" t="s">
        <v>86</v>
      </c>
      <c r="B50" t="s">
        <v>304</v>
      </c>
      <c r="C50" s="12" t="s">
        <v>18</v>
      </c>
      <c r="D50" s="12" t="s">
        <v>9</v>
      </c>
    </row>
    <row r="51" spans="1:4" x14ac:dyDescent="0.3">
      <c r="A51" t="s">
        <v>87</v>
      </c>
      <c r="B51" t="s">
        <v>305</v>
      </c>
      <c r="C51" s="12" t="s">
        <v>19</v>
      </c>
      <c r="D51" s="12" t="s">
        <v>12</v>
      </c>
    </row>
    <row r="52" spans="1:4" x14ac:dyDescent="0.3">
      <c r="A52" t="s">
        <v>88</v>
      </c>
      <c r="B52" t="s">
        <v>306</v>
      </c>
      <c r="C52" s="12" t="s">
        <v>19</v>
      </c>
      <c r="D52" s="12" t="s">
        <v>9</v>
      </c>
    </row>
    <row r="53" spans="1:4" x14ac:dyDescent="0.3">
      <c r="A53" t="s">
        <v>89</v>
      </c>
      <c r="B53" t="s">
        <v>307</v>
      </c>
      <c r="C53" s="12" t="s">
        <v>18</v>
      </c>
      <c r="D53" s="12" t="s">
        <v>9</v>
      </c>
    </row>
    <row r="54" spans="1:4" x14ac:dyDescent="0.3">
      <c r="A54" t="s">
        <v>90</v>
      </c>
      <c r="B54" t="s">
        <v>308</v>
      </c>
      <c r="C54" s="12" t="s">
        <v>18</v>
      </c>
      <c r="D54" s="12" t="s">
        <v>9</v>
      </c>
    </row>
    <row r="55" spans="1:4" x14ac:dyDescent="0.3">
      <c r="A55" t="s">
        <v>91</v>
      </c>
      <c r="B55" t="s">
        <v>309</v>
      </c>
      <c r="C55" s="12" t="s">
        <v>18</v>
      </c>
      <c r="D55" s="12" t="s">
        <v>9</v>
      </c>
    </row>
    <row r="56" spans="1:4" x14ac:dyDescent="0.3">
      <c r="A56" t="s">
        <v>92</v>
      </c>
      <c r="B56" t="s">
        <v>310</v>
      </c>
      <c r="C56" s="12" t="s">
        <v>20</v>
      </c>
      <c r="D56" s="12" t="s">
        <v>11</v>
      </c>
    </row>
    <row r="57" spans="1:4" x14ac:dyDescent="0.3">
      <c r="A57" t="s">
        <v>93</v>
      </c>
      <c r="B57" t="s">
        <v>311</v>
      </c>
      <c r="C57" s="12" t="s">
        <v>19</v>
      </c>
      <c r="D57" s="12" t="s">
        <v>12</v>
      </c>
    </row>
    <row r="58" spans="1:4" x14ac:dyDescent="0.3">
      <c r="A58" t="s">
        <v>94</v>
      </c>
      <c r="B58" t="s">
        <v>312</v>
      </c>
      <c r="C58" s="12" t="s">
        <v>19</v>
      </c>
      <c r="D58" s="12" t="s">
        <v>12</v>
      </c>
    </row>
    <row r="59" spans="1:4" x14ac:dyDescent="0.3">
      <c r="A59" t="s">
        <v>95</v>
      </c>
      <c r="B59" t="s">
        <v>313</v>
      </c>
      <c r="C59" s="12" t="s">
        <v>19</v>
      </c>
      <c r="D59" s="12" t="s">
        <v>12</v>
      </c>
    </row>
    <row r="60" spans="1:4" x14ac:dyDescent="0.3">
      <c r="A60" t="s">
        <v>96</v>
      </c>
      <c r="B60" t="s">
        <v>314</v>
      </c>
      <c r="C60" s="12" t="s">
        <v>20</v>
      </c>
      <c r="D60" s="12" t="s">
        <v>11</v>
      </c>
    </row>
    <row r="61" spans="1:4" x14ac:dyDescent="0.3">
      <c r="A61" t="s">
        <v>97</v>
      </c>
      <c r="B61" t="s">
        <v>315</v>
      </c>
      <c r="C61" s="12" t="s">
        <v>19</v>
      </c>
      <c r="D61" s="12" t="s">
        <v>12</v>
      </c>
    </row>
    <row r="62" spans="1:4" x14ac:dyDescent="0.3">
      <c r="A62" t="s">
        <v>98</v>
      </c>
      <c r="B62" t="s">
        <v>316</v>
      </c>
      <c r="C62" s="12" t="s">
        <v>23</v>
      </c>
      <c r="D62" s="12" t="s">
        <v>12</v>
      </c>
    </row>
    <row r="63" spans="1:4" x14ac:dyDescent="0.3">
      <c r="A63" t="s">
        <v>99</v>
      </c>
      <c r="B63" t="s">
        <v>317</v>
      </c>
      <c r="C63" s="12" t="s">
        <v>23</v>
      </c>
      <c r="D63" s="12" t="s">
        <v>10</v>
      </c>
    </row>
    <row r="64" spans="1:4" x14ac:dyDescent="0.3">
      <c r="A64" t="s">
        <v>100</v>
      </c>
      <c r="B64" t="s">
        <v>318</v>
      </c>
      <c r="C64" s="12" t="s">
        <v>18</v>
      </c>
      <c r="D64" s="12" t="s">
        <v>9</v>
      </c>
    </row>
    <row r="65" spans="1:4" x14ac:dyDescent="0.3">
      <c r="A65" t="s">
        <v>101</v>
      </c>
      <c r="B65" t="s">
        <v>319</v>
      </c>
      <c r="C65" s="12" t="s">
        <v>23</v>
      </c>
      <c r="D65" s="12" t="s">
        <v>11</v>
      </c>
    </row>
    <row r="66" spans="1:4" x14ac:dyDescent="0.3">
      <c r="A66" t="s">
        <v>102</v>
      </c>
      <c r="B66" t="s">
        <v>320</v>
      </c>
      <c r="C66" s="12" t="s">
        <v>23</v>
      </c>
      <c r="D66" s="12" t="s">
        <v>11</v>
      </c>
    </row>
    <row r="67" spans="1:4" x14ac:dyDescent="0.3">
      <c r="A67" t="s">
        <v>103</v>
      </c>
      <c r="B67" t="s">
        <v>321</v>
      </c>
      <c r="C67" s="12" t="s">
        <v>18</v>
      </c>
      <c r="D67" s="12" t="s">
        <v>9</v>
      </c>
    </row>
    <row r="68" spans="1:4" x14ac:dyDescent="0.3">
      <c r="A68" t="s">
        <v>104</v>
      </c>
      <c r="B68" t="s">
        <v>322</v>
      </c>
      <c r="C68" s="12" t="s">
        <v>17</v>
      </c>
      <c r="D68" s="12" t="s">
        <v>12</v>
      </c>
    </row>
    <row r="69" spans="1:4" x14ac:dyDescent="0.3">
      <c r="A69" t="s">
        <v>105</v>
      </c>
      <c r="B69" t="s">
        <v>323</v>
      </c>
      <c r="C69" s="12" t="s">
        <v>18</v>
      </c>
      <c r="D69" s="12" t="s">
        <v>9</v>
      </c>
    </row>
    <row r="70" spans="1:4" x14ac:dyDescent="0.3">
      <c r="A70" t="s">
        <v>106</v>
      </c>
      <c r="B70" t="s">
        <v>324</v>
      </c>
      <c r="C70" s="12" t="s">
        <v>18</v>
      </c>
      <c r="D70" s="12" t="s">
        <v>9</v>
      </c>
    </row>
    <row r="71" spans="1:4" x14ac:dyDescent="0.3">
      <c r="A71" t="s">
        <v>107</v>
      </c>
      <c r="B71" t="s">
        <v>325</v>
      </c>
      <c r="C71" s="12" t="s">
        <v>17</v>
      </c>
      <c r="D71" s="12" t="s">
        <v>9</v>
      </c>
    </row>
    <row r="72" spans="1:4" x14ac:dyDescent="0.3">
      <c r="A72" t="s">
        <v>108</v>
      </c>
      <c r="B72" t="s">
        <v>326</v>
      </c>
      <c r="C72" s="12" t="s">
        <v>23</v>
      </c>
      <c r="D72" s="12" t="s">
        <v>12</v>
      </c>
    </row>
    <row r="73" spans="1:4" x14ac:dyDescent="0.3">
      <c r="A73" t="s">
        <v>109</v>
      </c>
      <c r="B73" t="s">
        <v>327</v>
      </c>
      <c r="C73" s="12" t="s">
        <v>23</v>
      </c>
      <c r="D73" s="12" t="s">
        <v>10</v>
      </c>
    </row>
    <row r="74" spans="1:4" x14ac:dyDescent="0.3">
      <c r="A74" t="s">
        <v>110</v>
      </c>
      <c r="B74" t="s">
        <v>328</v>
      </c>
      <c r="C74" s="12" t="s">
        <v>18</v>
      </c>
      <c r="D74" s="12" t="s">
        <v>12</v>
      </c>
    </row>
    <row r="75" spans="1:4" x14ac:dyDescent="0.3">
      <c r="A75" t="s">
        <v>111</v>
      </c>
      <c r="B75" t="s">
        <v>329</v>
      </c>
      <c r="C75" s="12" t="s">
        <v>18</v>
      </c>
      <c r="D75" s="12" t="s">
        <v>9</v>
      </c>
    </row>
    <row r="76" spans="1:4" x14ac:dyDescent="0.3">
      <c r="A76" t="s">
        <v>112</v>
      </c>
      <c r="B76" t="s">
        <v>330</v>
      </c>
      <c r="C76" s="12" t="s">
        <v>23</v>
      </c>
      <c r="D76" s="12" t="s">
        <v>11</v>
      </c>
    </row>
    <row r="77" spans="1:4" x14ac:dyDescent="0.3">
      <c r="A77" t="s">
        <v>113</v>
      </c>
      <c r="B77" t="s">
        <v>331</v>
      </c>
      <c r="C77" s="12" t="s">
        <v>18</v>
      </c>
      <c r="D77" s="12" t="s">
        <v>9</v>
      </c>
    </row>
    <row r="78" spans="1:4" x14ac:dyDescent="0.3">
      <c r="A78" t="s">
        <v>114</v>
      </c>
      <c r="B78" t="s">
        <v>332</v>
      </c>
      <c r="C78" s="12" t="s">
        <v>18</v>
      </c>
      <c r="D78" s="12" t="s">
        <v>9</v>
      </c>
    </row>
    <row r="79" spans="1:4" x14ac:dyDescent="0.3">
      <c r="A79" t="s">
        <v>115</v>
      </c>
      <c r="B79" t="s">
        <v>333</v>
      </c>
      <c r="C79" s="12" t="s">
        <v>18</v>
      </c>
      <c r="D79" s="12" t="s">
        <v>9</v>
      </c>
    </row>
    <row r="80" spans="1:4" x14ac:dyDescent="0.3">
      <c r="A80" t="s">
        <v>116</v>
      </c>
      <c r="B80" t="s">
        <v>334</v>
      </c>
      <c r="C80" s="12" t="s">
        <v>19</v>
      </c>
      <c r="D80" s="12" t="s">
        <v>12</v>
      </c>
    </row>
    <row r="81" spans="1:4" x14ac:dyDescent="0.3">
      <c r="A81" t="s">
        <v>117</v>
      </c>
      <c r="B81" t="s">
        <v>335</v>
      </c>
      <c r="C81" s="12" t="s">
        <v>17</v>
      </c>
      <c r="D81" s="12" t="s">
        <v>9</v>
      </c>
    </row>
    <row r="82" spans="1:4" x14ac:dyDescent="0.3">
      <c r="A82" t="s">
        <v>118</v>
      </c>
      <c r="B82" t="s">
        <v>336</v>
      </c>
      <c r="C82" s="12" t="s">
        <v>19</v>
      </c>
      <c r="D82" s="12" t="s">
        <v>12</v>
      </c>
    </row>
    <row r="83" spans="1:4" x14ac:dyDescent="0.3">
      <c r="A83" t="s">
        <v>119</v>
      </c>
      <c r="B83" t="s">
        <v>337</v>
      </c>
      <c r="C83" s="12" t="s">
        <v>23</v>
      </c>
      <c r="D83" s="12" t="s">
        <v>11</v>
      </c>
    </row>
    <row r="84" spans="1:4" x14ac:dyDescent="0.3">
      <c r="A84" t="s">
        <v>120</v>
      </c>
      <c r="B84" t="s">
        <v>338</v>
      </c>
      <c r="C84" s="12" t="s">
        <v>23</v>
      </c>
      <c r="D84" s="12" t="s">
        <v>10</v>
      </c>
    </row>
    <row r="85" spans="1:4" x14ac:dyDescent="0.3">
      <c r="A85" t="s">
        <v>121</v>
      </c>
      <c r="B85" t="s">
        <v>339</v>
      </c>
      <c r="C85" s="12" t="s">
        <v>19</v>
      </c>
      <c r="D85" s="12" t="s">
        <v>9</v>
      </c>
    </row>
    <row r="86" spans="1:4" x14ac:dyDescent="0.3">
      <c r="A86" t="s">
        <v>122</v>
      </c>
      <c r="B86" t="s">
        <v>340</v>
      </c>
      <c r="C86" s="12" t="s">
        <v>19</v>
      </c>
      <c r="D86" s="12" t="s">
        <v>11</v>
      </c>
    </row>
    <row r="87" spans="1:4" x14ac:dyDescent="0.3">
      <c r="A87" t="s">
        <v>123</v>
      </c>
      <c r="B87" t="s">
        <v>341</v>
      </c>
      <c r="C87" s="12" t="s">
        <v>19</v>
      </c>
      <c r="D87" s="12" t="s">
        <v>11</v>
      </c>
    </row>
    <row r="88" spans="1:4" x14ac:dyDescent="0.3">
      <c r="A88" t="s">
        <v>124</v>
      </c>
      <c r="B88" t="s">
        <v>342</v>
      </c>
      <c r="C88" s="12" t="s">
        <v>17</v>
      </c>
      <c r="D88" s="12" t="s">
        <v>9</v>
      </c>
    </row>
    <row r="89" spans="1:4" x14ac:dyDescent="0.3">
      <c r="A89" t="s">
        <v>125</v>
      </c>
      <c r="B89" t="s">
        <v>343</v>
      </c>
      <c r="C89" s="12" t="s">
        <v>18</v>
      </c>
      <c r="D89" s="12" t="s">
        <v>9</v>
      </c>
    </row>
    <row r="90" spans="1:4" x14ac:dyDescent="0.3">
      <c r="A90" t="s">
        <v>126</v>
      </c>
      <c r="B90" t="s">
        <v>344</v>
      </c>
      <c r="C90" s="12" t="s">
        <v>18</v>
      </c>
      <c r="D90" s="12" t="s">
        <v>9</v>
      </c>
    </row>
    <row r="91" spans="1:4" x14ac:dyDescent="0.3">
      <c r="A91" t="s">
        <v>127</v>
      </c>
      <c r="B91" t="s">
        <v>345</v>
      </c>
      <c r="C91" s="12" t="s">
        <v>22</v>
      </c>
      <c r="D91" s="12" t="s">
        <v>11</v>
      </c>
    </row>
    <row r="92" spans="1:4" x14ac:dyDescent="0.3">
      <c r="A92" t="s">
        <v>128</v>
      </c>
      <c r="B92" t="s">
        <v>346</v>
      </c>
      <c r="C92" s="12" t="s">
        <v>17</v>
      </c>
      <c r="D92" s="12" t="s">
        <v>12</v>
      </c>
    </row>
    <row r="93" spans="1:4" x14ac:dyDescent="0.3">
      <c r="A93" t="s">
        <v>129</v>
      </c>
      <c r="B93" t="s">
        <v>347</v>
      </c>
      <c r="C93" s="12" t="s">
        <v>20</v>
      </c>
      <c r="D93" s="12" t="s">
        <v>12</v>
      </c>
    </row>
    <row r="94" spans="1:4" x14ac:dyDescent="0.3">
      <c r="A94" t="s">
        <v>130</v>
      </c>
      <c r="B94" t="s">
        <v>348</v>
      </c>
      <c r="C94" s="12" t="s">
        <v>20</v>
      </c>
      <c r="D94" s="12" t="s">
        <v>12</v>
      </c>
    </row>
    <row r="95" spans="1:4" x14ac:dyDescent="0.3">
      <c r="A95" t="s">
        <v>131</v>
      </c>
      <c r="B95" t="s">
        <v>349</v>
      </c>
      <c r="C95" s="12" t="s">
        <v>18</v>
      </c>
      <c r="D95" s="12" t="s">
        <v>9</v>
      </c>
    </row>
    <row r="96" spans="1:4" x14ac:dyDescent="0.3">
      <c r="A96" t="s">
        <v>132</v>
      </c>
      <c r="B96" t="s">
        <v>350</v>
      </c>
      <c r="C96" s="12" t="s">
        <v>18</v>
      </c>
      <c r="D96" s="12" t="s">
        <v>9</v>
      </c>
    </row>
    <row r="97" spans="1:4" x14ac:dyDescent="0.3">
      <c r="A97" t="s">
        <v>133</v>
      </c>
      <c r="B97" t="s">
        <v>351</v>
      </c>
      <c r="C97" s="12" t="s">
        <v>20</v>
      </c>
      <c r="D97" s="12" t="s">
        <v>9</v>
      </c>
    </row>
    <row r="98" spans="1:4" x14ac:dyDescent="0.3">
      <c r="A98" t="s">
        <v>134</v>
      </c>
      <c r="B98" t="s">
        <v>352</v>
      </c>
      <c r="C98" s="12" t="s">
        <v>18</v>
      </c>
      <c r="D98" s="12" t="s">
        <v>9</v>
      </c>
    </row>
    <row r="99" spans="1:4" x14ac:dyDescent="0.3">
      <c r="A99" t="s">
        <v>135</v>
      </c>
      <c r="B99" t="s">
        <v>353</v>
      </c>
      <c r="C99" s="12" t="s">
        <v>19</v>
      </c>
      <c r="D99" s="12" t="s">
        <v>12</v>
      </c>
    </row>
    <row r="100" spans="1:4" x14ac:dyDescent="0.3">
      <c r="A100" t="s">
        <v>136</v>
      </c>
      <c r="B100" t="s">
        <v>354</v>
      </c>
      <c r="C100" s="12" t="s">
        <v>17</v>
      </c>
      <c r="D100" s="12" t="s">
        <v>9</v>
      </c>
    </row>
    <row r="101" spans="1:4" x14ac:dyDescent="0.3">
      <c r="A101" t="s">
        <v>137</v>
      </c>
      <c r="B101" t="s">
        <v>355</v>
      </c>
      <c r="C101" s="12" t="s">
        <v>20</v>
      </c>
      <c r="D101" s="12" t="s">
        <v>11</v>
      </c>
    </row>
    <row r="102" spans="1:4" x14ac:dyDescent="0.3">
      <c r="A102" t="s">
        <v>138</v>
      </c>
      <c r="B102" t="s">
        <v>356</v>
      </c>
      <c r="C102" s="12" t="s">
        <v>18</v>
      </c>
      <c r="D102" s="12" t="s">
        <v>12</v>
      </c>
    </row>
    <row r="103" spans="1:4" x14ac:dyDescent="0.3">
      <c r="A103" t="s">
        <v>139</v>
      </c>
      <c r="B103" t="s">
        <v>357</v>
      </c>
      <c r="C103" s="12" t="s">
        <v>23</v>
      </c>
      <c r="D103" s="12" t="s">
        <v>11</v>
      </c>
    </row>
    <row r="104" spans="1:4" x14ac:dyDescent="0.3">
      <c r="A104" t="s">
        <v>140</v>
      </c>
      <c r="B104" t="s">
        <v>358</v>
      </c>
      <c r="C104" s="12" t="s">
        <v>17</v>
      </c>
      <c r="D104" s="12" t="s">
        <v>11</v>
      </c>
    </row>
    <row r="105" spans="1:4" x14ac:dyDescent="0.3">
      <c r="A105" t="s">
        <v>141</v>
      </c>
      <c r="B105" t="s">
        <v>359</v>
      </c>
      <c r="C105" s="12" t="s">
        <v>17</v>
      </c>
      <c r="D105" s="12" t="s">
        <v>10</v>
      </c>
    </row>
    <row r="106" spans="1:4" x14ac:dyDescent="0.3">
      <c r="A106" t="s">
        <v>142</v>
      </c>
      <c r="B106" t="s">
        <v>360</v>
      </c>
      <c r="C106" s="12" t="s">
        <v>17</v>
      </c>
      <c r="D106" s="12" t="s">
        <v>9</v>
      </c>
    </row>
    <row r="107" spans="1:4" x14ac:dyDescent="0.3">
      <c r="A107" t="s">
        <v>143</v>
      </c>
      <c r="B107" t="s">
        <v>361</v>
      </c>
      <c r="C107" s="12" t="s">
        <v>18</v>
      </c>
      <c r="D107" s="12" t="s">
        <v>12</v>
      </c>
    </row>
    <row r="108" spans="1:4" x14ac:dyDescent="0.3">
      <c r="A108" t="s">
        <v>144</v>
      </c>
      <c r="B108" t="s">
        <v>362</v>
      </c>
      <c r="C108" s="12" t="s">
        <v>20</v>
      </c>
      <c r="D108" s="12" t="s">
        <v>9</v>
      </c>
    </row>
    <row r="109" spans="1:4" x14ac:dyDescent="0.3">
      <c r="A109" t="s">
        <v>145</v>
      </c>
      <c r="B109" t="s">
        <v>363</v>
      </c>
      <c r="C109" s="12" t="s">
        <v>18</v>
      </c>
      <c r="D109" s="12" t="s">
        <v>11</v>
      </c>
    </row>
    <row r="110" spans="1:4" x14ac:dyDescent="0.3">
      <c r="A110" t="s">
        <v>146</v>
      </c>
      <c r="B110" t="s">
        <v>364</v>
      </c>
      <c r="C110" s="12" t="s">
        <v>17</v>
      </c>
      <c r="D110" s="12" t="s">
        <v>11</v>
      </c>
    </row>
    <row r="111" spans="1:4" x14ac:dyDescent="0.3">
      <c r="A111" t="s">
        <v>147</v>
      </c>
      <c r="B111" t="s">
        <v>365</v>
      </c>
      <c r="C111" s="12" t="s">
        <v>18</v>
      </c>
      <c r="D111" s="12" t="s">
        <v>9</v>
      </c>
    </row>
    <row r="112" spans="1:4" x14ac:dyDescent="0.3">
      <c r="A112" t="s">
        <v>148</v>
      </c>
      <c r="B112" t="s">
        <v>366</v>
      </c>
      <c r="C112" s="12" t="s">
        <v>20</v>
      </c>
      <c r="D112" s="12" t="s">
        <v>11</v>
      </c>
    </row>
    <row r="113" spans="1:4" x14ac:dyDescent="0.3">
      <c r="A113" t="s">
        <v>149</v>
      </c>
      <c r="B113" t="s">
        <v>367</v>
      </c>
      <c r="C113" s="12" t="s">
        <v>23</v>
      </c>
      <c r="D113" s="12" t="s">
        <v>11</v>
      </c>
    </row>
    <row r="114" spans="1:4" x14ac:dyDescent="0.3">
      <c r="A114" t="s">
        <v>150</v>
      </c>
      <c r="B114" t="s">
        <v>368</v>
      </c>
      <c r="C114" s="12" t="s">
        <v>23</v>
      </c>
      <c r="D114" s="12" t="s">
        <v>10</v>
      </c>
    </row>
    <row r="115" spans="1:4" x14ac:dyDescent="0.3">
      <c r="A115" t="s">
        <v>151</v>
      </c>
      <c r="B115" t="s">
        <v>369</v>
      </c>
      <c r="C115" s="12" t="s">
        <v>20</v>
      </c>
      <c r="D115" s="12" t="s">
        <v>12</v>
      </c>
    </row>
    <row r="116" spans="1:4" x14ac:dyDescent="0.3">
      <c r="A116" t="s">
        <v>152</v>
      </c>
      <c r="B116" t="s">
        <v>370</v>
      </c>
      <c r="C116" s="12" t="s">
        <v>18</v>
      </c>
      <c r="D116" s="12" t="s">
        <v>9</v>
      </c>
    </row>
    <row r="117" spans="1:4" x14ac:dyDescent="0.3">
      <c r="A117" t="s">
        <v>153</v>
      </c>
      <c r="B117" t="s">
        <v>371</v>
      </c>
      <c r="C117" s="12" t="s">
        <v>18</v>
      </c>
      <c r="D117" s="12" t="s">
        <v>9</v>
      </c>
    </row>
    <row r="118" spans="1:4" x14ac:dyDescent="0.3">
      <c r="A118" t="s">
        <v>154</v>
      </c>
      <c r="B118" t="s">
        <v>372</v>
      </c>
      <c r="C118" s="12" t="s">
        <v>18</v>
      </c>
      <c r="D118" s="12" t="s">
        <v>9</v>
      </c>
    </row>
    <row r="119" spans="1:4" x14ac:dyDescent="0.3">
      <c r="A119" t="s">
        <v>155</v>
      </c>
      <c r="B119" t="s">
        <v>373</v>
      </c>
      <c r="C119" s="12" t="s">
        <v>17</v>
      </c>
      <c r="D119" s="12" t="s">
        <v>9</v>
      </c>
    </row>
    <row r="120" spans="1:4" x14ac:dyDescent="0.3">
      <c r="A120" t="s">
        <v>156</v>
      </c>
      <c r="B120" t="s">
        <v>374</v>
      </c>
      <c r="C120" s="12" t="s">
        <v>23</v>
      </c>
      <c r="D120" s="12" t="s">
        <v>10</v>
      </c>
    </row>
    <row r="121" spans="1:4" x14ac:dyDescent="0.3">
      <c r="A121" t="s">
        <v>157</v>
      </c>
      <c r="B121" t="s">
        <v>375</v>
      </c>
      <c r="C121" s="12" t="s">
        <v>23</v>
      </c>
      <c r="D121" s="12" t="s">
        <v>10</v>
      </c>
    </row>
    <row r="122" spans="1:4" x14ac:dyDescent="0.3">
      <c r="A122" t="s">
        <v>158</v>
      </c>
      <c r="B122" t="s">
        <v>376</v>
      </c>
      <c r="C122" s="12" t="s">
        <v>17</v>
      </c>
      <c r="D122" s="12" t="s">
        <v>12</v>
      </c>
    </row>
    <row r="123" spans="1:4" x14ac:dyDescent="0.3">
      <c r="A123" t="s">
        <v>159</v>
      </c>
      <c r="B123" t="s">
        <v>377</v>
      </c>
      <c r="C123" s="12" t="s">
        <v>22</v>
      </c>
      <c r="D123" s="12" t="s">
        <v>12</v>
      </c>
    </row>
    <row r="124" spans="1:4" x14ac:dyDescent="0.3">
      <c r="A124" t="s">
        <v>160</v>
      </c>
      <c r="B124" t="s">
        <v>378</v>
      </c>
      <c r="C124" s="12" t="s">
        <v>23</v>
      </c>
      <c r="D124" s="12" t="s">
        <v>10</v>
      </c>
    </row>
    <row r="125" spans="1:4" x14ac:dyDescent="0.3">
      <c r="A125" t="s">
        <v>161</v>
      </c>
      <c r="B125" t="s">
        <v>379</v>
      </c>
      <c r="C125" s="12" t="s">
        <v>20</v>
      </c>
      <c r="D125" s="12" t="s">
        <v>9</v>
      </c>
    </row>
    <row r="126" spans="1:4" x14ac:dyDescent="0.3">
      <c r="A126" t="s">
        <v>162</v>
      </c>
      <c r="B126" t="s">
        <v>380</v>
      </c>
      <c r="C126" s="12" t="s">
        <v>17</v>
      </c>
      <c r="D126" s="12" t="s">
        <v>12</v>
      </c>
    </row>
    <row r="127" spans="1:4" x14ac:dyDescent="0.3">
      <c r="A127" t="s">
        <v>163</v>
      </c>
      <c r="B127" t="s">
        <v>381</v>
      </c>
      <c r="C127" s="12" t="s">
        <v>23</v>
      </c>
      <c r="D127" s="12" t="s">
        <v>11</v>
      </c>
    </row>
    <row r="128" spans="1:4" x14ac:dyDescent="0.3">
      <c r="A128" t="s">
        <v>164</v>
      </c>
      <c r="B128" t="s">
        <v>382</v>
      </c>
      <c r="C128" s="12" t="s">
        <v>23</v>
      </c>
      <c r="D128" s="12" t="s">
        <v>12</v>
      </c>
    </row>
    <row r="129" spans="1:4" x14ac:dyDescent="0.3">
      <c r="A129" t="s">
        <v>165</v>
      </c>
      <c r="B129" t="s">
        <v>383</v>
      </c>
      <c r="C129" s="12" t="s">
        <v>19</v>
      </c>
      <c r="D129" s="12" t="s">
        <v>12</v>
      </c>
    </row>
    <row r="130" spans="1:4" x14ac:dyDescent="0.3">
      <c r="A130" t="s">
        <v>166</v>
      </c>
      <c r="B130" t="s">
        <v>384</v>
      </c>
      <c r="C130" s="12" t="s">
        <v>17</v>
      </c>
      <c r="D130" s="12" t="s">
        <v>11</v>
      </c>
    </row>
    <row r="131" spans="1:4" x14ac:dyDescent="0.3">
      <c r="A131" t="s">
        <v>167</v>
      </c>
      <c r="B131" t="s">
        <v>385</v>
      </c>
      <c r="C131" s="12" t="s">
        <v>18</v>
      </c>
      <c r="D131" s="12" t="s">
        <v>12</v>
      </c>
    </row>
    <row r="132" spans="1:4" x14ac:dyDescent="0.3">
      <c r="A132" t="s">
        <v>168</v>
      </c>
      <c r="B132" t="s">
        <v>386</v>
      </c>
      <c r="C132" s="12" t="s">
        <v>18</v>
      </c>
      <c r="D132" s="12" t="s">
        <v>9</v>
      </c>
    </row>
    <row r="133" spans="1:4" x14ac:dyDescent="0.3">
      <c r="A133" t="s">
        <v>169</v>
      </c>
      <c r="B133" t="s">
        <v>387</v>
      </c>
      <c r="C133" s="12" t="s">
        <v>17</v>
      </c>
      <c r="D133" s="12" t="s">
        <v>12</v>
      </c>
    </row>
    <row r="134" spans="1:4" x14ac:dyDescent="0.3">
      <c r="A134" t="s">
        <v>170</v>
      </c>
      <c r="B134" t="s">
        <v>388</v>
      </c>
      <c r="C134" s="12" t="s">
        <v>18</v>
      </c>
      <c r="D134" s="12" t="s">
        <v>12</v>
      </c>
    </row>
    <row r="135" spans="1:4" x14ac:dyDescent="0.3">
      <c r="A135" t="s">
        <v>171</v>
      </c>
      <c r="B135" t="s">
        <v>389</v>
      </c>
      <c r="C135" s="12" t="s">
        <v>20</v>
      </c>
      <c r="D135" s="12" t="s">
        <v>11</v>
      </c>
    </row>
    <row r="136" spans="1:4" x14ac:dyDescent="0.3">
      <c r="A136" t="s">
        <v>172</v>
      </c>
      <c r="B136" t="s">
        <v>390</v>
      </c>
      <c r="C136" s="12" t="s">
        <v>23</v>
      </c>
      <c r="D136" s="12" t="s">
        <v>10</v>
      </c>
    </row>
    <row r="137" spans="1:4" x14ac:dyDescent="0.3">
      <c r="A137" t="s">
        <v>173</v>
      </c>
      <c r="B137" t="s">
        <v>391</v>
      </c>
      <c r="C137" s="12" t="s">
        <v>17</v>
      </c>
      <c r="D137" s="12" t="s">
        <v>11</v>
      </c>
    </row>
    <row r="138" spans="1:4" x14ac:dyDescent="0.3">
      <c r="A138" t="s">
        <v>174</v>
      </c>
      <c r="B138" t="s">
        <v>392</v>
      </c>
      <c r="C138" s="12" t="s">
        <v>23</v>
      </c>
      <c r="D138" s="11" t="s">
        <v>11</v>
      </c>
    </row>
    <row r="139" spans="1:4" x14ac:dyDescent="0.3">
      <c r="A139" t="s">
        <v>175</v>
      </c>
      <c r="B139" t="s">
        <v>393</v>
      </c>
      <c r="C139" s="12" t="s">
        <v>17</v>
      </c>
      <c r="D139" s="12" t="s">
        <v>9</v>
      </c>
    </row>
    <row r="140" spans="1:4" x14ac:dyDescent="0.3">
      <c r="A140" t="s">
        <v>176</v>
      </c>
      <c r="B140" t="s">
        <v>394</v>
      </c>
      <c r="C140" s="12" t="s">
        <v>22</v>
      </c>
      <c r="D140" s="12" t="s">
        <v>11</v>
      </c>
    </row>
    <row r="141" spans="1:4" x14ac:dyDescent="0.3">
      <c r="A141" t="s">
        <v>177</v>
      </c>
      <c r="B141" t="s">
        <v>395</v>
      </c>
      <c r="C141" s="12" t="s">
        <v>18</v>
      </c>
      <c r="D141" s="12" t="s">
        <v>9</v>
      </c>
    </row>
    <row r="142" spans="1:4" x14ac:dyDescent="0.3">
      <c r="A142" t="s">
        <v>178</v>
      </c>
      <c r="B142" t="s">
        <v>396</v>
      </c>
      <c r="C142" s="12" t="s">
        <v>17</v>
      </c>
      <c r="D142" s="12" t="s">
        <v>9</v>
      </c>
    </row>
    <row r="143" spans="1:4" x14ac:dyDescent="0.3">
      <c r="A143" t="s">
        <v>179</v>
      </c>
      <c r="B143" t="s">
        <v>397</v>
      </c>
      <c r="C143" s="12" t="s">
        <v>17</v>
      </c>
      <c r="D143" s="12" t="s">
        <v>9</v>
      </c>
    </row>
    <row r="144" spans="1:4" x14ac:dyDescent="0.3">
      <c r="A144" t="s">
        <v>180</v>
      </c>
      <c r="B144" t="s">
        <v>398</v>
      </c>
      <c r="C144" s="12" t="s">
        <v>19</v>
      </c>
      <c r="D144" s="12" t="s">
        <v>11</v>
      </c>
    </row>
    <row r="145" spans="1:4" x14ac:dyDescent="0.3">
      <c r="A145" t="s">
        <v>181</v>
      </c>
      <c r="B145" t="s">
        <v>399</v>
      </c>
      <c r="C145" s="12" t="s">
        <v>23</v>
      </c>
      <c r="D145" s="12" t="s">
        <v>10</v>
      </c>
    </row>
    <row r="146" spans="1:4" x14ac:dyDescent="0.3">
      <c r="A146" t="s">
        <v>182</v>
      </c>
      <c r="B146" t="s">
        <v>400</v>
      </c>
      <c r="C146" s="12" t="s">
        <v>23</v>
      </c>
      <c r="D146" s="12" t="s">
        <v>11</v>
      </c>
    </row>
    <row r="147" spans="1:4" x14ac:dyDescent="0.3">
      <c r="A147" t="s">
        <v>183</v>
      </c>
      <c r="B147" t="s">
        <v>401</v>
      </c>
      <c r="C147" s="12" t="s">
        <v>18</v>
      </c>
      <c r="D147" s="12" t="s">
        <v>12</v>
      </c>
    </row>
    <row r="148" spans="1:4" x14ac:dyDescent="0.3">
      <c r="A148" t="s">
        <v>184</v>
      </c>
      <c r="B148" t="s">
        <v>402</v>
      </c>
      <c r="C148" s="12" t="s">
        <v>17</v>
      </c>
      <c r="D148" s="12" t="s">
        <v>9</v>
      </c>
    </row>
    <row r="149" spans="1:4" x14ac:dyDescent="0.3">
      <c r="A149" t="s">
        <v>185</v>
      </c>
      <c r="B149" t="s">
        <v>403</v>
      </c>
      <c r="C149" s="12" t="s">
        <v>18</v>
      </c>
      <c r="D149" s="12" t="s">
        <v>9</v>
      </c>
    </row>
    <row r="150" spans="1:4" x14ac:dyDescent="0.3">
      <c r="A150" t="s">
        <v>186</v>
      </c>
      <c r="B150" t="s">
        <v>404</v>
      </c>
      <c r="C150" s="12" t="s">
        <v>20</v>
      </c>
      <c r="D150" s="12" t="s">
        <v>9</v>
      </c>
    </row>
    <row r="151" spans="1:4" x14ac:dyDescent="0.3">
      <c r="A151" t="s">
        <v>187</v>
      </c>
      <c r="B151" t="s">
        <v>405</v>
      </c>
      <c r="C151" s="11" t="s">
        <v>20</v>
      </c>
      <c r="D151" s="12" t="s">
        <v>11</v>
      </c>
    </row>
    <row r="152" spans="1:4" x14ac:dyDescent="0.3">
      <c r="A152" t="s">
        <v>188</v>
      </c>
      <c r="B152" t="s">
        <v>406</v>
      </c>
      <c r="C152" s="12" t="s">
        <v>17</v>
      </c>
      <c r="D152" s="12" t="s">
        <v>9</v>
      </c>
    </row>
    <row r="153" spans="1:4" x14ac:dyDescent="0.3">
      <c r="A153" t="s">
        <v>189</v>
      </c>
      <c r="B153" t="s">
        <v>407</v>
      </c>
      <c r="C153" s="12" t="s">
        <v>19</v>
      </c>
      <c r="D153" s="12" t="s">
        <v>9</v>
      </c>
    </row>
    <row r="154" spans="1:4" x14ac:dyDescent="0.3">
      <c r="A154" t="s">
        <v>190</v>
      </c>
      <c r="B154" t="s">
        <v>408</v>
      </c>
      <c r="C154" s="12" t="s">
        <v>17</v>
      </c>
      <c r="D154" s="12" t="s">
        <v>11</v>
      </c>
    </row>
    <row r="155" spans="1:4" x14ac:dyDescent="0.3">
      <c r="A155" t="s">
        <v>191</v>
      </c>
      <c r="B155" t="s">
        <v>409</v>
      </c>
      <c r="C155" s="12" t="s">
        <v>19</v>
      </c>
      <c r="D155" s="12" t="s">
        <v>12</v>
      </c>
    </row>
    <row r="156" spans="1:4" x14ac:dyDescent="0.3">
      <c r="A156" t="s">
        <v>192</v>
      </c>
      <c r="B156" t="s">
        <v>410</v>
      </c>
      <c r="C156" s="12" t="s">
        <v>19</v>
      </c>
      <c r="D156" s="12" t="s">
        <v>12</v>
      </c>
    </row>
    <row r="157" spans="1:4" x14ac:dyDescent="0.3">
      <c r="A157" t="s">
        <v>193</v>
      </c>
      <c r="B157" t="s">
        <v>411</v>
      </c>
      <c r="C157" s="12" t="s">
        <v>17</v>
      </c>
      <c r="D157" s="12" t="s">
        <v>11</v>
      </c>
    </row>
    <row r="158" spans="1:4" x14ac:dyDescent="0.3">
      <c r="A158" t="s">
        <v>194</v>
      </c>
      <c r="B158" t="s">
        <v>412</v>
      </c>
      <c r="C158" s="12" t="s">
        <v>18</v>
      </c>
      <c r="D158" s="12" t="s">
        <v>9</v>
      </c>
    </row>
    <row r="159" spans="1:4" x14ac:dyDescent="0.3">
      <c r="A159" t="s">
        <v>195</v>
      </c>
      <c r="B159" t="s">
        <v>413</v>
      </c>
      <c r="C159" s="12" t="s">
        <v>18</v>
      </c>
      <c r="D159" s="12" t="s">
        <v>9</v>
      </c>
    </row>
    <row r="160" spans="1:4" x14ac:dyDescent="0.3">
      <c r="A160" t="s">
        <v>414</v>
      </c>
      <c r="B160" t="s">
        <v>415</v>
      </c>
      <c r="C160" s="12" t="s">
        <v>19</v>
      </c>
      <c r="D160" s="12" t="s">
        <v>9</v>
      </c>
    </row>
    <row r="161" spans="1:4" x14ac:dyDescent="0.3">
      <c r="A161" t="s">
        <v>196</v>
      </c>
      <c r="B161" t="s">
        <v>416</v>
      </c>
      <c r="C161" s="12" t="s">
        <v>20</v>
      </c>
      <c r="D161" s="12" t="s">
        <v>9</v>
      </c>
    </row>
    <row r="162" spans="1:4" x14ac:dyDescent="0.3">
      <c r="A162" t="s">
        <v>197</v>
      </c>
      <c r="B162" t="s">
        <v>417</v>
      </c>
      <c r="C162" s="12" t="s">
        <v>18</v>
      </c>
      <c r="D162" s="12" t="s">
        <v>9</v>
      </c>
    </row>
    <row r="163" spans="1:4" x14ac:dyDescent="0.3">
      <c r="A163" t="s">
        <v>198</v>
      </c>
      <c r="B163" t="s">
        <v>418</v>
      </c>
      <c r="C163" s="12" t="s">
        <v>18</v>
      </c>
      <c r="D163" s="12" t="s">
        <v>9</v>
      </c>
    </row>
    <row r="164" spans="1:4" x14ac:dyDescent="0.3">
      <c r="A164" t="s">
        <v>199</v>
      </c>
      <c r="B164" t="s">
        <v>419</v>
      </c>
      <c r="C164" s="12" t="s">
        <v>23</v>
      </c>
      <c r="D164" s="12" t="s">
        <v>10</v>
      </c>
    </row>
    <row r="165" spans="1:4" x14ac:dyDescent="0.3">
      <c r="A165" t="s">
        <v>200</v>
      </c>
      <c r="B165" t="s">
        <v>420</v>
      </c>
      <c r="C165" s="12" t="s">
        <v>17</v>
      </c>
      <c r="D165" s="11" t="s">
        <v>12</v>
      </c>
    </row>
    <row r="166" spans="1:4" x14ac:dyDescent="0.3">
      <c r="A166" t="s">
        <v>201</v>
      </c>
      <c r="B166" t="s">
        <v>421</v>
      </c>
      <c r="C166" s="12" t="s">
        <v>18</v>
      </c>
      <c r="D166" s="12" t="s">
        <v>9</v>
      </c>
    </row>
    <row r="167" spans="1:4" x14ac:dyDescent="0.3">
      <c r="A167" t="s">
        <v>202</v>
      </c>
      <c r="B167" t="s">
        <v>422</v>
      </c>
      <c r="C167" s="12" t="s">
        <v>23</v>
      </c>
      <c r="D167" s="12" t="s">
        <v>11</v>
      </c>
    </row>
    <row r="168" spans="1:4" x14ac:dyDescent="0.3">
      <c r="A168" t="s">
        <v>203</v>
      </c>
      <c r="B168" t="s">
        <v>423</v>
      </c>
      <c r="C168" s="12" t="s">
        <v>20</v>
      </c>
      <c r="D168" s="12" t="s">
        <v>9</v>
      </c>
    </row>
    <row r="169" spans="1:4" x14ac:dyDescent="0.3">
      <c r="A169" t="s">
        <v>204</v>
      </c>
      <c r="B169" t="s">
        <v>424</v>
      </c>
      <c r="C169" s="12" t="s">
        <v>23</v>
      </c>
      <c r="D169" s="12" t="s">
        <v>11</v>
      </c>
    </row>
    <row r="170" spans="1:4" x14ac:dyDescent="0.3">
      <c r="A170" t="s">
        <v>205</v>
      </c>
      <c r="B170" t="s">
        <v>425</v>
      </c>
      <c r="C170" s="12" t="s">
        <v>18</v>
      </c>
      <c r="D170" s="12" t="s">
        <v>12</v>
      </c>
    </row>
    <row r="171" spans="1:4" x14ac:dyDescent="0.3">
      <c r="A171" t="s">
        <v>206</v>
      </c>
      <c r="B171" t="s">
        <v>426</v>
      </c>
      <c r="C171" s="12" t="s">
        <v>23</v>
      </c>
      <c r="D171" s="12" t="s">
        <v>9</v>
      </c>
    </row>
    <row r="172" spans="1:4" x14ac:dyDescent="0.3">
      <c r="A172" t="s">
        <v>207</v>
      </c>
      <c r="B172" t="s">
        <v>427</v>
      </c>
      <c r="C172" s="12" t="s">
        <v>23</v>
      </c>
      <c r="D172" s="12" t="s">
        <v>10</v>
      </c>
    </row>
    <row r="173" spans="1:4" x14ac:dyDescent="0.3">
      <c r="A173" t="s">
        <v>208</v>
      </c>
      <c r="B173" t="s">
        <v>428</v>
      </c>
      <c r="C173" s="12" t="s">
        <v>17</v>
      </c>
      <c r="D173" s="12" t="s">
        <v>9</v>
      </c>
    </row>
    <row r="174" spans="1:4" x14ac:dyDescent="0.3">
      <c r="A174" t="s">
        <v>209</v>
      </c>
      <c r="B174" t="s">
        <v>429</v>
      </c>
      <c r="C174" s="12" t="s">
        <v>19</v>
      </c>
      <c r="D174" s="12" t="s">
        <v>9</v>
      </c>
    </row>
    <row r="175" spans="1:4" x14ac:dyDescent="0.3">
      <c r="A175" t="s">
        <v>210</v>
      </c>
      <c r="B175" t="s">
        <v>430</v>
      </c>
      <c r="C175" s="12" t="s">
        <v>18</v>
      </c>
      <c r="D175" s="12" t="s">
        <v>9</v>
      </c>
    </row>
    <row r="176" spans="1:4" x14ac:dyDescent="0.3">
      <c r="A176" t="s">
        <v>211</v>
      </c>
      <c r="B176" t="s">
        <v>431</v>
      </c>
      <c r="C176" s="12" t="s">
        <v>18</v>
      </c>
      <c r="D176" s="12" t="s">
        <v>9</v>
      </c>
    </row>
    <row r="177" spans="1:4" x14ac:dyDescent="0.3">
      <c r="A177" t="s">
        <v>212</v>
      </c>
      <c r="B177" t="s">
        <v>432</v>
      </c>
      <c r="C177" s="12" t="s">
        <v>17</v>
      </c>
      <c r="D177" s="12" t="s">
        <v>11</v>
      </c>
    </row>
    <row r="178" spans="1:4" x14ac:dyDescent="0.3">
      <c r="A178" t="s">
        <v>213</v>
      </c>
      <c r="B178" t="s">
        <v>433</v>
      </c>
      <c r="C178" s="12" t="s">
        <v>23</v>
      </c>
      <c r="D178" s="12" t="s">
        <v>10</v>
      </c>
    </row>
    <row r="179" spans="1:4" x14ac:dyDescent="0.3">
      <c r="A179" t="s">
        <v>434</v>
      </c>
      <c r="B179" t="s">
        <v>435</v>
      </c>
      <c r="C179" s="12" t="s">
        <v>23</v>
      </c>
      <c r="D179" s="12" t="s">
        <v>12</v>
      </c>
    </row>
    <row r="180" spans="1:4" x14ac:dyDescent="0.3">
      <c r="A180" t="s">
        <v>214</v>
      </c>
      <c r="B180" t="s">
        <v>436</v>
      </c>
      <c r="C180" s="12" t="s">
        <v>23</v>
      </c>
      <c r="D180" s="12" t="s">
        <v>10</v>
      </c>
    </row>
    <row r="181" spans="1:4" x14ac:dyDescent="0.3">
      <c r="A181" t="s">
        <v>215</v>
      </c>
      <c r="B181" t="s">
        <v>437</v>
      </c>
      <c r="C181" s="12" t="s">
        <v>18</v>
      </c>
      <c r="D181" s="12" t="s">
        <v>9</v>
      </c>
    </row>
    <row r="182" spans="1:4" x14ac:dyDescent="0.3">
      <c r="A182" t="s">
        <v>216</v>
      </c>
      <c r="B182" t="s">
        <v>438</v>
      </c>
      <c r="C182" s="12" t="s">
        <v>22</v>
      </c>
      <c r="D182" s="12" t="s">
        <v>11</v>
      </c>
    </row>
    <row r="183" spans="1:4" x14ac:dyDescent="0.3">
      <c r="A183" t="s">
        <v>217</v>
      </c>
      <c r="B183" t="s">
        <v>439</v>
      </c>
      <c r="C183" s="12" t="s">
        <v>19</v>
      </c>
      <c r="D183" s="12" t="s">
        <v>9</v>
      </c>
    </row>
    <row r="184" spans="1:4" x14ac:dyDescent="0.3">
      <c r="A184" t="s">
        <v>218</v>
      </c>
      <c r="B184" t="s">
        <v>440</v>
      </c>
      <c r="C184" s="12" t="s">
        <v>19</v>
      </c>
      <c r="D184" s="12" t="s">
        <v>12</v>
      </c>
    </row>
    <row r="185" spans="1:4" x14ac:dyDescent="0.3">
      <c r="A185" t="s">
        <v>219</v>
      </c>
      <c r="B185" t="s">
        <v>441</v>
      </c>
      <c r="C185" s="12" t="s">
        <v>19</v>
      </c>
      <c r="D185" s="12" t="s">
        <v>9</v>
      </c>
    </row>
    <row r="186" spans="1:4" x14ac:dyDescent="0.3">
      <c r="A186" t="s">
        <v>220</v>
      </c>
      <c r="B186" t="s">
        <v>442</v>
      </c>
      <c r="C186" s="12" t="s">
        <v>19</v>
      </c>
      <c r="D186" s="12" t="s">
        <v>12</v>
      </c>
    </row>
    <row r="187" spans="1:4" x14ac:dyDescent="0.3">
      <c r="A187" t="s">
        <v>221</v>
      </c>
      <c r="B187" t="s">
        <v>443</v>
      </c>
      <c r="C187" s="12" t="s">
        <v>23</v>
      </c>
      <c r="D187" s="12" t="s">
        <v>10</v>
      </c>
    </row>
    <row r="188" spans="1:4" x14ac:dyDescent="0.3">
      <c r="A188" t="s">
        <v>222</v>
      </c>
      <c r="B188" t="s">
        <v>444</v>
      </c>
      <c r="C188" s="12" t="s">
        <v>19</v>
      </c>
      <c r="D188" s="12" t="s">
        <v>12</v>
      </c>
    </row>
    <row r="189" spans="1:4" x14ac:dyDescent="0.3">
      <c r="A189" t="s">
        <v>223</v>
      </c>
      <c r="B189" t="s">
        <v>445</v>
      </c>
      <c r="C189" s="12" t="s">
        <v>18</v>
      </c>
      <c r="D189" s="12" t="s">
        <v>9</v>
      </c>
    </row>
    <row r="190" spans="1:4" x14ac:dyDescent="0.3">
      <c r="A190" t="s">
        <v>224</v>
      </c>
      <c r="B190" t="s">
        <v>446</v>
      </c>
      <c r="C190" s="12" t="s">
        <v>18</v>
      </c>
      <c r="D190" s="12" t="s">
        <v>9</v>
      </c>
    </row>
    <row r="191" spans="1:4" x14ac:dyDescent="0.3">
      <c r="A191" t="s">
        <v>225</v>
      </c>
      <c r="B191" t="s">
        <v>447</v>
      </c>
      <c r="C191" s="12" t="s">
        <v>20</v>
      </c>
      <c r="D191" s="12" t="s">
        <v>10</v>
      </c>
    </row>
    <row r="192" spans="1:4" x14ac:dyDescent="0.3">
      <c r="A192" t="s">
        <v>448</v>
      </c>
      <c r="B192" t="s">
        <v>449</v>
      </c>
      <c r="C192" s="12" t="s">
        <v>17</v>
      </c>
      <c r="D192" s="12" t="s">
        <v>9</v>
      </c>
    </row>
    <row r="193" spans="1:4" x14ac:dyDescent="0.3">
      <c r="A193" t="s">
        <v>226</v>
      </c>
      <c r="B193" t="s">
        <v>450</v>
      </c>
      <c r="C193" s="12" t="s">
        <v>18</v>
      </c>
      <c r="D193" s="12" t="s">
        <v>11</v>
      </c>
    </row>
    <row r="194" spans="1:4" x14ac:dyDescent="0.3">
      <c r="A194" t="s">
        <v>227</v>
      </c>
      <c r="B194" t="s">
        <v>451</v>
      </c>
      <c r="C194" s="12" t="s">
        <v>23</v>
      </c>
      <c r="D194" s="12" t="s">
        <v>11</v>
      </c>
    </row>
    <row r="195" spans="1:4" x14ac:dyDescent="0.3">
      <c r="A195" t="s">
        <v>228</v>
      </c>
      <c r="B195" t="s">
        <v>452</v>
      </c>
      <c r="C195" s="12" t="s">
        <v>17</v>
      </c>
      <c r="D195" s="12" t="s">
        <v>12</v>
      </c>
    </row>
    <row r="196" spans="1:4" x14ac:dyDescent="0.3">
      <c r="A196" t="s">
        <v>229</v>
      </c>
      <c r="B196" t="s">
        <v>453</v>
      </c>
      <c r="C196" s="12" t="s">
        <v>17</v>
      </c>
      <c r="D196" s="12" t="s">
        <v>11</v>
      </c>
    </row>
    <row r="197" spans="1:4" x14ac:dyDescent="0.3">
      <c r="A197" t="s">
        <v>230</v>
      </c>
      <c r="B197" t="s">
        <v>454</v>
      </c>
      <c r="C197" s="12" t="s">
        <v>23</v>
      </c>
      <c r="D197" s="12" t="s">
        <v>10</v>
      </c>
    </row>
    <row r="198" spans="1:4" x14ac:dyDescent="0.3">
      <c r="A198" t="s">
        <v>231</v>
      </c>
      <c r="B198" t="s">
        <v>455</v>
      </c>
      <c r="C198" s="12" t="s">
        <v>17</v>
      </c>
      <c r="D198" s="12" t="s">
        <v>12</v>
      </c>
    </row>
    <row r="199" spans="1:4" x14ac:dyDescent="0.3">
      <c r="A199" t="s">
        <v>232</v>
      </c>
      <c r="B199" t="s">
        <v>456</v>
      </c>
      <c r="C199" s="12" t="s">
        <v>19</v>
      </c>
      <c r="D199" s="12" t="s">
        <v>9</v>
      </c>
    </row>
    <row r="200" spans="1:4" x14ac:dyDescent="0.3">
      <c r="A200" t="s">
        <v>233</v>
      </c>
      <c r="B200" t="s">
        <v>457</v>
      </c>
      <c r="C200" s="12" t="s">
        <v>20</v>
      </c>
      <c r="D200" s="12" t="s">
        <v>11</v>
      </c>
    </row>
    <row r="201" spans="1:4" x14ac:dyDescent="0.3">
      <c r="A201" t="s">
        <v>234</v>
      </c>
      <c r="B201" t="s">
        <v>458</v>
      </c>
      <c r="C201" s="12" t="s">
        <v>18</v>
      </c>
      <c r="D201" s="12" t="s">
        <v>12</v>
      </c>
    </row>
    <row r="202" spans="1:4" x14ac:dyDescent="0.3">
      <c r="A202" t="s">
        <v>235</v>
      </c>
      <c r="B202" t="s">
        <v>459</v>
      </c>
      <c r="C202" s="12" t="s">
        <v>18</v>
      </c>
      <c r="D202" s="12" t="s">
        <v>12</v>
      </c>
    </row>
    <row r="203" spans="1:4" x14ac:dyDescent="0.3">
      <c r="A203" t="s">
        <v>236</v>
      </c>
      <c r="B203" t="s">
        <v>460</v>
      </c>
      <c r="C203" s="12" t="s">
        <v>19</v>
      </c>
      <c r="D203" s="12" t="s">
        <v>9</v>
      </c>
    </row>
    <row r="204" spans="1:4" x14ac:dyDescent="0.3">
      <c r="A204" t="s">
        <v>237</v>
      </c>
      <c r="B204" t="s">
        <v>461</v>
      </c>
      <c r="C204" s="12" t="s">
        <v>17</v>
      </c>
      <c r="D204" s="12" t="s">
        <v>12</v>
      </c>
    </row>
    <row r="205" spans="1:4" x14ac:dyDescent="0.3">
      <c r="A205" t="s">
        <v>238</v>
      </c>
      <c r="B205" t="s">
        <v>462</v>
      </c>
      <c r="C205" s="12" t="s">
        <v>23</v>
      </c>
      <c r="D205" s="12" t="s">
        <v>10</v>
      </c>
    </row>
    <row r="206" spans="1:4" x14ac:dyDescent="0.3">
      <c r="A206" t="s">
        <v>239</v>
      </c>
      <c r="B206" t="s">
        <v>463</v>
      </c>
      <c r="C206" s="12" t="s">
        <v>18</v>
      </c>
      <c r="D206" s="12" t="s">
        <v>12</v>
      </c>
    </row>
    <row r="207" spans="1:4" x14ac:dyDescent="0.3">
      <c r="A207" t="s">
        <v>240</v>
      </c>
      <c r="B207" t="s">
        <v>464</v>
      </c>
      <c r="C207" s="12" t="s">
        <v>20</v>
      </c>
      <c r="D207" s="12" t="s">
        <v>9</v>
      </c>
    </row>
    <row r="208" spans="1:4" x14ac:dyDescent="0.3">
      <c r="A208" t="s">
        <v>241</v>
      </c>
      <c r="B208" t="s">
        <v>465</v>
      </c>
      <c r="C208" s="12" t="s">
        <v>18</v>
      </c>
      <c r="D208" s="12" t="s">
        <v>9</v>
      </c>
    </row>
    <row r="209" spans="1:4" x14ac:dyDescent="0.3">
      <c r="A209" t="s">
        <v>242</v>
      </c>
      <c r="B209" t="s">
        <v>466</v>
      </c>
      <c r="C209" s="12" t="s">
        <v>21</v>
      </c>
      <c r="D209" s="12" t="s">
        <v>9</v>
      </c>
    </row>
    <row r="210" spans="1:4" x14ac:dyDescent="0.3">
      <c r="A210" t="s">
        <v>243</v>
      </c>
      <c r="B210" t="s">
        <v>467</v>
      </c>
      <c r="C210" s="12" t="s">
        <v>19</v>
      </c>
      <c r="D210" s="12" t="s">
        <v>9</v>
      </c>
    </row>
    <row r="211" spans="1:4" x14ac:dyDescent="0.3">
      <c r="A211" t="s">
        <v>244</v>
      </c>
      <c r="B211" t="s">
        <v>468</v>
      </c>
      <c r="C211" s="12" t="s">
        <v>18</v>
      </c>
      <c r="D211" s="12" t="s">
        <v>11</v>
      </c>
    </row>
    <row r="212" spans="1:4" x14ac:dyDescent="0.3">
      <c r="A212" t="s">
        <v>245</v>
      </c>
      <c r="B212" t="s">
        <v>469</v>
      </c>
      <c r="C212" s="12" t="s">
        <v>17</v>
      </c>
      <c r="D212" s="12" t="s">
        <v>11</v>
      </c>
    </row>
    <row r="213" spans="1:4" x14ac:dyDescent="0.3">
      <c r="A213" t="s">
        <v>246</v>
      </c>
      <c r="B213" t="s">
        <v>470</v>
      </c>
      <c r="C213" s="12" t="s">
        <v>19</v>
      </c>
      <c r="D213" s="12" t="s">
        <v>10</v>
      </c>
    </row>
    <row r="214" spans="1:4" x14ac:dyDescent="0.3">
      <c r="A214" t="s">
        <v>247</v>
      </c>
      <c r="B214" t="s">
        <v>471</v>
      </c>
      <c r="C214" s="12" t="s">
        <v>17</v>
      </c>
      <c r="D214" s="12" t="s">
        <v>11</v>
      </c>
    </row>
    <row r="215" spans="1:4" x14ac:dyDescent="0.3">
      <c r="A215" t="s">
        <v>248</v>
      </c>
      <c r="B215" t="s">
        <v>472</v>
      </c>
      <c r="C215" s="12" t="s">
        <v>19</v>
      </c>
      <c r="D215" s="12" t="s">
        <v>9</v>
      </c>
    </row>
    <row r="216" spans="1:4" x14ac:dyDescent="0.3">
      <c r="A216" t="s">
        <v>249</v>
      </c>
      <c r="B216" t="s">
        <v>473</v>
      </c>
      <c r="C216" s="12" t="s">
        <v>20</v>
      </c>
      <c r="D216" s="12" t="s">
        <v>11</v>
      </c>
    </row>
    <row r="217" spans="1:4" x14ac:dyDescent="0.3">
      <c r="A217" t="s">
        <v>250</v>
      </c>
      <c r="B217" t="s">
        <v>474</v>
      </c>
      <c r="C217" s="12" t="s">
        <v>20</v>
      </c>
      <c r="D217" s="12" t="s">
        <v>10</v>
      </c>
    </row>
    <row r="218" spans="1:4" x14ac:dyDescent="0.3">
      <c r="A218" t="s">
        <v>251</v>
      </c>
      <c r="B218" t="s">
        <v>475</v>
      </c>
      <c r="C218" s="12" t="s">
        <v>23</v>
      </c>
      <c r="D218" s="12" t="s">
        <v>11</v>
      </c>
    </row>
    <row r="219" spans="1:4" x14ac:dyDescent="0.3">
      <c r="A219" t="s">
        <v>252</v>
      </c>
      <c r="B219" t="s">
        <v>476</v>
      </c>
      <c r="C219" s="12" t="s">
        <v>23</v>
      </c>
      <c r="D219" s="12" t="s">
        <v>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FCA6A-C1A3-43B3-B37C-DDD5E2F4EC50}">
  <dimension ref="A3:C20"/>
  <sheetViews>
    <sheetView workbookViewId="0">
      <selection activeCell="A3" sqref="A3"/>
    </sheetView>
  </sheetViews>
  <sheetFormatPr defaultRowHeight="14.4" x14ac:dyDescent="0.3"/>
  <sheetData>
    <row r="3" spans="1:3" x14ac:dyDescent="0.3">
      <c r="A3" s="19"/>
      <c r="B3" s="20"/>
      <c r="C3" s="21"/>
    </row>
    <row r="4" spans="1:3" x14ac:dyDescent="0.3">
      <c r="A4" s="22"/>
      <c r="B4" s="23"/>
      <c r="C4" s="24"/>
    </row>
    <row r="5" spans="1:3" x14ac:dyDescent="0.3">
      <c r="A5" s="22"/>
      <c r="B5" s="23"/>
      <c r="C5" s="24"/>
    </row>
    <row r="6" spans="1:3" x14ac:dyDescent="0.3">
      <c r="A6" s="22"/>
      <c r="B6" s="23"/>
      <c r="C6" s="24"/>
    </row>
    <row r="7" spans="1:3" x14ac:dyDescent="0.3">
      <c r="A7" s="22"/>
      <c r="B7" s="23"/>
      <c r="C7" s="24"/>
    </row>
    <row r="8" spans="1:3" x14ac:dyDescent="0.3">
      <c r="A8" s="22"/>
      <c r="B8" s="23"/>
      <c r="C8" s="24"/>
    </row>
    <row r="9" spans="1:3" x14ac:dyDescent="0.3">
      <c r="A9" s="22"/>
      <c r="B9" s="23"/>
      <c r="C9" s="24"/>
    </row>
    <row r="10" spans="1:3" x14ac:dyDescent="0.3">
      <c r="A10" s="22"/>
      <c r="B10" s="23"/>
      <c r="C10" s="24"/>
    </row>
    <row r="11" spans="1:3" x14ac:dyDescent="0.3">
      <c r="A11" s="22"/>
      <c r="B11" s="23"/>
      <c r="C11" s="24"/>
    </row>
    <row r="12" spans="1:3" x14ac:dyDescent="0.3">
      <c r="A12" s="22"/>
      <c r="B12" s="23"/>
      <c r="C12" s="24"/>
    </row>
    <row r="13" spans="1:3" x14ac:dyDescent="0.3">
      <c r="A13" s="22"/>
      <c r="B13" s="23"/>
      <c r="C13" s="24"/>
    </row>
    <row r="14" spans="1:3" x14ac:dyDescent="0.3">
      <c r="A14" s="22"/>
      <c r="B14" s="23"/>
      <c r="C14" s="24"/>
    </row>
    <row r="15" spans="1:3" x14ac:dyDescent="0.3">
      <c r="A15" s="22"/>
      <c r="B15" s="23"/>
      <c r="C15" s="24"/>
    </row>
    <row r="16" spans="1:3" x14ac:dyDescent="0.3">
      <c r="A16" s="22"/>
      <c r="B16" s="23"/>
      <c r="C16" s="24"/>
    </row>
    <row r="17" spans="1:3" x14ac:dyDescent="0.3">
      <c r="A17" s="22"/>
      <c r="B17" s="23"/>
      <c r="C17" s="24"/>
    </row>
    <row r="18" spans="1:3" x14ac:dyDescent="0.3">
      <c r="A18" s="22"/>
      <c r="B18" s="23"/>
      <c r="C18" s="24"/>
    </row>
    <row r="19" spans="1:3" x14ac:dyDescent="0.3">
      <c r="A19" s="22"/>
      <c r="B19" s="23"/>
      <c r="C19" s="24"/>
    </row>
    <row r="20" spans="1:3" x14ac:dyDescent="0.3">
      <c r="A20" s="25"/>
      <c r="B20" s="26"/>
      <c r="C20" s="2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566C-7176-44D1-8282-40E10C91942A}">
  <dimension ref="A1:BR270"/>
  <sheetViews>
    <sheetView zoomScale="55" zoomScaleNormal="55" workbookViewId="0">
      <selection activeCell="A4" sqref="A4:BR4"/>
    </sheetView>
  </sheetViews>
  <sheetFormatPr defaultRowHeight="14.4" x14ac:dyDescent="0.3"/>
  <cols>
    <col min="1" max="1" width="60.109375" bestFit="1" customWidth="1"/>
    <col min="2" max="2" width="25.6640625" bestFit="1" customWidth="1"/>
    <col min="3" max="3" width="30.5546875" bestFit="1" customWidth="1"/>
    <col min="4" max="4" width="12.6640625" bestFit="1" customWidth="1"/>
    <col min="5" max="14" width="5" bestFit="1" customWidth="1"/>
    <col min="15" max="70" width="11.44140625" bestFit="1" customWidth="1"/>
    <col min="257" max="257" width="60.109375" bestFit="1" customWidth="1"/>
    <col min="258" max="258" width="25.6640625" bestFit="1" customWidth="1"/>
    <col min="259" max="259" width="30.5546875" bestFit="1" customWidth="1"/>
    <col min="260" max="260" width="12.6640625" bestFit="1" customWidth="1"/>
    <col min="261" max="270" width="5" bestFit="1" customWidth="1"/>
    <col min="271" max="326" width="11.44140625" bestFit="1" customWidth="1"/>
    <col min="513" max="513" width="60.109375" bestFit="1" customWidth="1"/>
    <col min="514" max="514" width="25.6640625" bestFit="1" customWidth="1"/>
    <col min="515" max="515" width="30.5546875" bestFit="1" customWidth="1"/>
    <col min="516" max="516" width="12.6640625" bestFit="1" customWidth="1"/>
    <col min="517" max="526" width="5" bestFit="1" customWidth="1"/>
    <col min="527" max="582" width="11.44140625" bestFit="1" customWidth="1"/>
    <col min="769" max="769" width="60.109375" bestFit="1" customWidth="1"/>
    <col min="770" max="770" width="25.6640625" bestFit="1" customWidth="1"/>
    <col min="771" max="771" width="30.5546875" bestFit="1" customWidth="1"/>
    <col min="772" max="772" width="12.6640625" bestFit="1" customWidth="1"/>
    <col min="773" max="782" width="5" bestFit="1" customWidth="1"/>
    <col min="783" max="838" width="11.44140625" bestFit="1" customWidth="1"/>
    <col min="1025" max="1025" width="60.109375" bestFit="1" customWidth="1"/>
    <col min="1026" max="1026" width="25.6640625" bestFit="1" customWidth="1"/>
    <col min="1027" max="1027" width="30.5546875" bestFit="1" customWidth="1"/>
    <col min="1028" max="1028" width="12.6640625" bestFit="1" customWidth="1"/>
    <col min="1029" max="1038" width="5" bestFit="1" customWidth="1"/>
    <col min="1039" max="1094" width="11.44140625" bestFit="1" customWidth="1"/>
    <col min="1281" max="1281" width="60.109375" bestFit="1" customWidth="1"/>
    <col min="1282" max="1282" width="25.6640625" bestFit="1" customWidth="1"/>
    <col min="1283" max="1283" width="30.5546875" bestFit="1" customWidth="1"/>
    <col min="1284" max="1284" width="12.6640625" bestFit="1" customWidth="1"/>
    <col min="1285" max="1294" width="5" bestFit="1" customWidth="1"/>
    <col min="1295" max="1350" width="11.44140625" bestFit="1" customWidth="1"/>
    <col min="1537" max="1537" width="60.109375" bestFit="1" customWidth="1"/>
    <col min="1538" max="1538" width="25.6640625" bestFit="1" customWidth="1"/>
    <col min="1539" max="1539" width="30.5546875" bestFit="1" customWidth="1"/>
    <col min="1540" max="1540" width="12.6640625" bestFit="1" customWidth="1"/>
    <col min="1541" max="1550" width="5" bestFit="1" customWidth="1"/>
    <col min="1551" max="1606" width="11.44140625" bestFit="1" customWidth="1"/>
    <col min="1793" max="1793" width="60.109375" bestFit="1" customWidth="1"/>
    <col min="1794" max="1794" width="25.6640625" bestFit="1" customWidth="1"/>
    <col min="1795" max="1795" width="30.5546875" bestFit="1" customWidth="1"/>
    <col min="1796" max="1796" width="12.6640625" bestFit="1" customWidth="1"/>
    <col min="1797" max="1806" width="5" bestFit="1" customWidth="1"/>
    <col min="1807" max="1862" width="11.44140625" bestFit="1" customWidth="1"/>
    <col min="2049" max="2049" width="60.109375" bestFit="1" customWidth="1"/>
    <col min="2050" max="2050" width="25.6640625" bestFit="1" customWidth="1"/>
    <col min="2051" max="2051" width="30.5546875" bestFit="1" customWidth="1"/>
    <col min="2052" max="2052" width="12.6640625" bestFit="1" customWidth="1"/>
    <col min="2053" max="2062" width="5" bestFit="1" customWidth="1"/>
    <col min="2063" max="2118" width="11.44140625" bestFit="1" customWidth="1"/>
    <col min="2305" max="2305" width="60.109375" bestFit="1" customWidth="1"/>
    <col min="2306" max="2306" width="25.6640625" bestFit="1" customWidth="1"/>
    <col min="2307" max="2307" width="30.5546875" bestFit="1" customWidth="1"/>
    <col min="2308" max="2308" width="12.6640625" bestFit="1" customWidth="1"/>
    <col min="2309" max="2318" width="5" bestFit="1" customWidth="1"/>
    <col min="2319" max="2374" width="11.44140625" bestFit="1" customWidth="1"/>
    <col min="2561" max="2561" width="60.109375" bestFit="1" customWidth="1"/>
    <col min="2562" max="2562" width="25.6640625" bestFit="1" customWidth="1"/>
    <col min="2563" max="2563" width="30.5546875" bestFit="1" customWidth="1"/>
    <col min="2564" max="2564" width="12.6640625" bestFit="1" customWidth="1"/>
    <col min="2565" max="2574" width="5" bestFit="1" customWidth="1"/>
    <col min="2575" max="2630" width="11.44140625" bestFit="1" customWidth="1"/>
    <col min="2817" max="2817" width="60.109375" bestFit="1" customWidth="1"/>
    <col min="2818" max="2818" width="25.6640625" bestFit="1" customWidth="1"/>
    <col min="2819" max="2819" width="30.5546875" bestFit="1" customWidth="1"/>
    <col min="2820" max="2820" width="12.6640625" bestFit="1" customWidth="1"/>
    <col min="2821" max="2830" width="5" bestFit="1" customWidth="1"/>
    <col min="2831" max="2886" width="11.44140625" bestFit="1" customWidth="1"/>
    <col min="3073" max="3073" width="60.109375" bestFit="1" customWidth="1"/>
    <col min="3074" max="3074" width="25.6640625" bestFit="1" customWidth="1"/>
    <col min="3075" max="3075" width="30.5546875" bestFit="1" customWidth="1"/>
    <col min="3076" max="3076" width="12.6640625" bestFit="1" customWidth="1"/>
    <col min="3077" max="3086" width="5" bestFit="1" customWidth="1"/>
    <col min="3087" max="3142" width="11.44140625" bestFit="1" customWidth="1"/>
    <col min="3329" max="3329" width="60.109375" bestFit="1" customWidth="1"/>
    <col min="3330" max="3330" width="25.6640625" bestFit="1" customWidth="1"/>
    <col min="3331" max="3331" width="30.5546875" bestFit="1" customWidth="1"/>
    <col min="3332" max="3332" width="12.6640625" bestFit="1" customWidth="1"/>
    <col min="3333" max="3342" width="5" bestFit="1" customWidth="1"/>
    <col min="3343" max="3398" width="11.44140625" bestFit="1" customWidth="1"/>
    <col min="3585" max="3585" width="60.109375" bestFit="1" customWidth="1"/>
    <col min="3586" max="3586" width="25.6640625" bestFit="1" customWidth="1"/>
    <col min="3587" max="3587" width="30.5546875" bestFit="1" customWidth="1"/>
    <col min="3588" max="3588" width="12.6640625" bestFit="1" customWidth="1"/>
    <col min="3589" max="3598" width="5" bestFit="1" customWidth="1"/>
    <col min="3599" max="3654" width="11.44140625" bestFit="1" customWidth="1"/>
    <col min="3841" max="3841" width="60.109375" bestFit="1" customWidth="1"/>
    <col min="3842" max="3842" width="25.6640625" bestFit="1" customWidth="1"/>
    <col min="3843" max="3843" width="30.5546875" bestFit="1" customWidth="1"/>
    <col min="3844" max="3844" width="12.6640625" bestFit="1" customWidth="1"/>
    <col min="3845" max="3854" width="5" bestFit="1" customWidth="1"/>
    <col min="3855" max="3910" width="11.44140625" bestFit="1" customWidth="1"/>
    <col min="4097" max="4097" width="60.109375" bestFit="1" customWidth="1"/>
    <col min="4098" max="4098" width="25.6640625" bestFit="1" customWidth="1"/>
    <col min="4099" max="4099" width="30.5546875" bestFit="1" customWidth="1"/>
    <col min="4100" max="4100" width="12.6640625" bestFit="1" customWidth="1"/>
    <col min="4101" max="4110" width="5" bestFit="1" customWidth="1"/>
    <col min="4111" max="4166" width="11.44140625" bestFit="1" customWidth="1"/>
    <col min="4353" max="4353" width="60.109375" bestFit="1" customWidth="1"/>
    <col min="4354" max="4354" width="25.6640625" bestFit="1" customWidth="1"/>
    <col min="4355" max="4355" width="30.5546875" bestFit="1" customWidth="1"/>
    <col min="4356" max="4356" width="12.6640625" bestFit="1" customWidth="1"/>
    <col min="4357" max="4366" width="5" bestFit="1" customWidth="1"/>
    <col min="4367" max="4422" width="11.44140625" bestFit="1" customWidth="1"/>
    <col min="4609" max="4609" width="60.109375" bestFit="1" customWidth="1"/>
    <col min="4610" max="4610" width="25.6640625" bestFit="1" customWidth="1"/>
    <col min="4611" max="4611" width="30.5546875" bestFit="1" customWidth="1"/>
    <col min="4612" max="4612" width="12.6640625" bestFit="1" customWidth="1"/>
    <col min="4613" max="4622" width="5" bestFit="1" customWidth="1"/>
    <col min="4623" max="4678" width="11.44140625" bestFit="1" customWidth="1"/>
    <col min="4865" max="4865" width="60.109375" bestFit="1" customWidth="1"/>
    <col min="4866" max="4866" width="25.6640625" bestFit="1" customWidth="1"/>
    <col min="4867" max="4867" width="30.5546875" bestFit="1" customWidth="1"/>
    <col min="4868" max="4868" width="12.6640625" bestFit="1" customWidth="1"/>
    <col min="4869" max="4878" width="5" bestFit="1" customWidth="1"/>
    <col min="4879" max="4934" width="11.44140625" bestFit="1" customWidth="1"/>
    <col min="5121" max="5121" width="60.109375" bestFit="1" customWidth="1"/>
    <col min="5122" max="5122" width="25.6640625" bestFit="1" customWidth="1"/>
    <col min="5123" max="5123" width="30.5546875" bestFit="1" customWidth="1"/>
    <col min="5124" max="5124" width="12.6640625" bestFit="1" customWidth="1"/>
    <col min="5125" max="5134" width="5" bestFit="1" customWidth="1"/>
    <col min="5135" max="5190" width="11.44140625" bestFit="1" customWidth="1"/>
    <col min="5377" max="5377" width="60.109375" bestFit="1" customWidth="1"/>
    <col min="5378" max="5378" width="25.6640625" bestFit="1" customWidth="1"/>
    <col min="5379" max="5379" width="30.5546875" bestFit="1" customWidth="1"/>
    <col min="5380" max="5380" width="12.6640625" bestFit="1" customWidth="1"/>
    <col min="5381" max="5390" width="5" bestFit="1" customWidth="1"/>
    <col min="5391" max="5446" width="11.44140625" bestFit="1" customWidth="1"/>
    <col min="5633" max="5633" width="60.109375" bestFit="1" customWidth="1"/>
    <col min="5634" max="5634" width="25.6640625" bestFit="1" customWidth="1"/>
    <col min="5635" max="5635" width="30.5546875" bestFit="1" customWidth="1"/>
    <col min="5636" max="5636" width="12.6640625" bestFit="1" customWidth="1"/>
    <col min="5637" max="5646" width="5" bestFit="1" customWidth="1"/>
    <col min="5647" max="5702" width="11.44140625" bestFit="1" customWidth="1"/>
    <col min="5889" max="5889" width="60.109375" bestFit="1" customWidth="1"/>
    <col min="5890" max="5890" width="25.6640625" bestFit="1" customWidth="1"/>
    <col min="5891" max="5891" width="30.5546875" bestFit="1" customWidth="1"/>
    <col min="5892" max="5892" width="12.6640625" bestFit="1" customWidth="1"/>
    <col min="5893" max="5902" width="5" bestFit="1" customWidth="1"/>
    <col min="5903" max="5958" width="11.44140625" bestFit="1" customWidth="1"/>
    <col min="6145" max="6145" width="60.109375" bestFit="1" customWidth="1"/>
    <col min="6146" max="6146" width="25.6640625" bestFit="1" customWidth="1"/>
    <col min="6147" max="6147" width="30.5546875" bestFit="1" customWidth="1"/>
    <col min="6148" max="6148" width="12.6640625" bestFit="1" customWidth="1"/>
    <col min="6149" max="6158" width="5" bestFit="1" customWidth="1"/>
    <col min="6159" max="6214" width="11.44140625" bestFit="1" customWidth="1"/>
    <col min="6401" max="6401" width="60.109375" bestFit="1" customWidth="1"/>
    <col min="6402" max="6402" width="25.6640625" bestFit="1" customWidth="1"/>
    <col min="6403" max="6403" width="30.5546875" bestFit="1" customWidth="1"/>
    <col min="6404" max="6404" width="12.6640625" bestFit="1" customWidth="1"/>
    <col min="6405" max="6414" width="5" bestFit="1" customWidth="1"/>
    <col min="6415" max="6470" width="11.44140625" bestFit="1" customWidth="1"/>
    <col min="6657" max="6657" width="60.109375" bestFit="1" customWidth="1"/>
    <col min="6658" max="6658" width="25.6640625" bestFit="1" customWidth="1"/>
    <col min="6659" max="6659" width="30.5546875" bestFit="1" customWidth="1"/>
    <col min="6660" max="6660" width="12.6640625" bestFit="1" customWidth="1"/>
    <col min="6661" max="6670" width="5" bestFit="1" customWidth="1"/>
    <col min="6671" max="6726" width="11.44140625" bestFit="1" customWidth="1"/>
    <col min="6913" max="6913" width="60.109375" bestFit="1" customWidth="1"/>
    <col min="6914" max="6914" width="25.6640625" bestFit="1" customWidth="1"/>
    <col min="6915" max="6915" width="30.5546875" bestFit="1" customWidth="1"/>
    <col min="6916" max="6916" width="12.6640625" bestFit="1" customWidth="1"/>
    <col min="6917" max="6926" width="5" bestFit="1" customWidth="1"/>
    <col min="6927" max="6982" width="11.44140625" bestFit="1" customWidth="1"/>
    <col min="7169" max="7169" width="60.109375" bestFit="1" customWidth="1"/>
    <col min="7170" max="7170" width="25.6640625" bestFit="1" customWidth="1"/>
    <col min="7171" max="7171" width="30.5546875" bestFit="1" customWidth="1"/>
    <col min="7172" max="7172" width="12.6640625" bestFit="1" customWidth="1"/>
    <col min="7173" max="7182" width="5" bestFit="1" customWidth="1"/>
    <col min="7183" max="7238" width="11.44140625" bestFit="1" customWidth="1"/>
    <col min="7425" max="7425" width="60.109375" bestFit="1" customWidth="1"/>
    <col min="7426" max="7426" width="25.6640625" bestFit="1" customWidth="1"/>
    <col min="7427" max="7427" width="30.5546875" bestFit="1" customWidth="1"/>
    <col min="7428" max="7428" width="12.6640625" bestFit="1" customWidth="1"/>
    <col min="7429" max="7438" width="5" bestFit="1" customWidth="1"/>
    <col min="7439" max="7494" width="11.44140625" bestFit="1" customWidth="1"/>
    <col min="7681" max="7681" width="60.109375" bestFit="1" customWidth="1"/>
    <col min="7682" max="7682" width="25.6640625" bestFit="1" customWidth="1"/>
    <col min="7683" max="7683" width="30.5546875" bestFit="1" customWidth="1"/>
    <col min="7684" max="7684" width="12.6640625" bestFit="1" customWidth="1"/>
    <col min="7685" max="7694" width="5" bestFit="1" customWidth="1"/>
    <col min="7695" max="7750" width="11.44140625" bestFit="1" customWidth="1"/>
    <col min="7937" max="7937" width="60.109375" bestFit="1" customWidth="1"/>
    <col min="7938" max="7938" width="25.6640625" bestFit="1" customWidth="1"/>
    <col min="7939" max="7939" width="30.5546875" bestFit="1" customWidth="1"/>
    <col min="7940" max="7940" width="12.6640625" bestFit="1" customWidth="1"/>
    <col min="7941" max="7950" width="5" bestFit="1" customWidth="1"/>
    <col min="7951" max="8006" width="11.44140625" bestFit="1" customWidth="1"/>
    <col min="8193" max="8193" width="60.109375" bestFit="1" customWidth="1"/>
    <col min="8194" max="8194" width="25.6640625" bestFit="1" customWidth="1"/>
    <col min="8195" max="8195" width="30.5546875" bestFit="1" customWidth="1"/>
    <col min="8196" max="8196" width="12.6640625" bestFit="1" customWidth="1"/>
    <col min="8197" max="8206" width="5" bestFit="1" customWidth="1"/>
    <col min="8207" max="8262" width="11.44140625" bestFit="1" customWidth="1"/>
    <col min="8449" max="8449" width="60.109375" bestFit="1" customWidth="1"/>
    <col min="8450" max="8450" width="25.6640625" bestFit="1" customWidth="1"/>
    <col min="8451" max="8451" width="30.5546875" bestFit="1" customWidth="1"/>
    <col min="8452" max="8452" width="12.6640625" bestFit="1" customWidth="1"/>
    <col min="8453" max="8462" width="5" bestFit="1" customWidth="1"/>
    <col min="8463" max="8518" width="11.44140625" bestFit="1" customWidth="1"/>
    <col min="8705" max="8705" width="60.109375" bestFit="1" customWidth="1"/>
    <col min="8706" max="8706" width="25.6640625" bestFit="1" customWidth="1"/>
    <col min="8707" max="8707" width="30.5546875" bestFit="1" customWidth="1"/>
    <col min="8708" max="8708" width="12.6640625" bestFit="1" customWidth="1"/>
    <col min="8709" max="8718" width="5" bestFit="1" customWidth="1"/>
    <col min="8719" max="8774" width="11.44140625" bestFit="1" customWidth="1"/>
    <col min="8961" max="8961" width="60.109375" bestFit="1" customWidth="1"/>
    <col min="8962" max="8962" width="25.6640625" bestFit="1" customWidth="1"/>
    <col min="8963" max="8963" width="30.5546875" bestFit="1" customWidth="1"/>
    <col min="8964" max="8964" width="12.6640625" bestFit="1" customWidth="1"/>
    <col min="8965" max="8974" width="5" bestFit="1" customWidth="1"/>
    <col min="8975" max="9030" width="11.44140625" bestFit="1" customWidth="1"/>
    <col min="9217" max="9217" width="60.109375" bestFit="1" customWidth="1"/>
    <col min="9218" max="9218" width="25.6640625" bestFit="1" customWidth="1"/>
    <col min="9219" max="9219" width="30.5546875" bestFit="1" customWidth="1"/>
    <col min="9220" max="9220" width="12.6640625" bestFit="1" customWidth="1"/>
    <col min="9221" max="9230" width="5" bestFit="1" customWidth="1"/>
    <col min="9231" max="9286" width="11.44140625" bestFit="1" customWidth="1"/>
    <col min="9473" max="9473" width="60.109375" bestFit="1" customWidth="1"/>
    <col min="9474" max="9474" width="25.6640625" bestFit="1" customWidth="1"/>
    <col min="9475" max="9475" width="30.5546875" bestFit="1" customWidth="1"/>
    <col min="9476" max="9476" width="12.6640625" bestFit="1" customWidth="1"/>
    <col min="9477" max="9486" width="5" bestFit="1" customWidth="1"/>
    <col min="9487" max="9542" width="11.44140625" bestFit="1" customWidth="1"/>
    <col min="9729" max="9729" width="60.109375" bestFit="1" customWidth="1"/>
    <col min="9730" max="9730" width="25.6640625" bestFit="1" customWidth="1"/>
    <col min="9731" max="9731" width="30.5546875" bestFit="1" customWidth="1"/>
    <col min="9732" max="9732" width="12.6640625" bestFit="1" customWidth="1"/>
    <col min="9733" max="9742" width="5" bestFit="1" customWidth="1"/>
    <col min="9743" max="9798" width="11.44140625" bestFit="1" customWidth="1"/>
    <col min="9985" max="9985" width="60.109375" bestFit="1" customWidth="1"/>
    <col min="9986" max="9986" width="25.6640625" bestFit="1" customWidth="1"/>
    <col min="9987" max="9987" width="30.5546875" bestFit="1" customWidth="1"/>
    <col min="9988" max="9988" width="12.6640625" bestFit="1" customWidth="1"/>
    <col min="9989" max="9998" width="5" bestFit="1" customWidth="1"/>
    <col min="9999" max="10054" width="11.44140625" bestFit="1" customWidth="1"/>
    <col min="10241" max="10241" width="60.109375" bestFit="1" customWidth="1"/>
    <col min="10242" max="10242" width="25.6640625" bestFit="1" customWidth="1"/>
    <col min="10243" max="10243" width="30.5546875" bestFit="1" customWidth="1"/>
    <col min="10244" max="10244" width="12.6640625" bestFit="1" customWidth="1"/>
    <col min="10245" max="10254" width="5" bestFit="1" customWidth="1"/>
    <col min="10255" max="10310" width="11.44140625" bestFit="1" customWidth="1"/>
    <col min="10497" max="10497" width="60.109375" bestFit="1" customWidth="1"/>
    <col min="10498" max="10498" width="25.6640625" bestFit="1" customWidth="1"/>
    <col min="10499" max="10499" width="30.5546875" bestFit="1" customWidth="1"/>
    <col min="10500" max="10500" width="12.6640625" bestFit="1" customWidth="1"/>
    <col min="10501" max="10510" width="5" bestFit="1" customWidth="1"/>
    <col min="10511" max="10566" width="11.44140625" bestFit="1" customWidth="1"/>
    <col min="10753" max="10753" width="60.109375" bestFit="1" customWidth="1"/>
    <col min="10754" max="10754" width="25.6640625" bestFit="1" customWidth="1"/>
    <col min="10755" max="10755" width="30.5546875" bestFit="1" customWidth="1"/>
    <col min="10756" max="10756" width="12.6640625" bestFit="1" customWidth="1"/>
    <col min="10757" max="10766" width="5" bestFit="1" customWidth="1"/>
    <col min="10767" max="10822" width="11.44140625" bestFit="1" customWidth="1"/>
    <col min="11009" max="11009" width="60.109375" bestFit="1" customWidth="1"/>
    <col min="11010" max="11010" width="25.6640625" bestFit="1" customWidth="1"/>
    <col min="11011" max="11011" width="30.5546875" bestFit="1" customWidth="1"/>
    <col min="11012" max="11012" width="12.6640625" bestFit="1" customWidth="1"/>
    <col min="11013" max="11022" width="5" bestFit="1" customWidth="1"/>
    <col min="11023" max="11078" width="11.44140625" bestFit="1" customWidth="1"/>
    <col min="11265" max="11265" width="60.109375" bestFit="1" customWidth="1"/>
    <col min="11266" max="11266" width="25.6640625" bestFit="1" customWidth="1"/>
    <col min="11267" max="11267" width="30.5546875" bestFit="1" customWidth="1"/>
    <col min="11268" max="11268" width="12.6640625" bestFit="1" customWidth="1"/>
    <col min="11269" max="11278" width="5" bestFit="1" customWidth="1"/>
    <col min="11279" max="11334" width="11.44140625" bestFit="1" customWidth="1"/>
    <col min="11521" max="11521" width="60.109375" bestFit="1" customWidth="1"/>
    <col min="11522" max="11522" width="25.6640625" bestFit="1" customWidth="1"/>
    <col min="11523" max="11523" width="30.5546875" bestFit="1" customWidth="1"/>
    <col min="11524" max="11524" width="12.6640625" bestFit="1" customWidth="1"/>
    <col min="11525" max="11534" width="5" bestFit="1" customWidth="1"/>
    <col min="11535" max="11590" width="11.44140625" bestFit="1" customWidth="1"/>
    <col min="11777" max="11777" width="60.109375" bestFit="1" customWidth="1"/>
    <col min="11778" max="11778" width="25.6640625" bestFit="1" customWidth="1"/>
    <col min="11779" max="11779" width="30.5546875" bestFit="1" customWidth="1"/>
    <col min="11780" max="11780" width="12.6640625" bestFit="1" customWidth="1"/>
    <col min="11781" max="11790" width="5" bestFit="1" customWidth="1"/>
    <col min="11791" max="11846" width="11.44140625" bestFit="1" customWidth="1"/>
    <col min="12033" max="12033" width="60.109375" bestFit="1" customWidth="1"/>
    <col min="12034" max="12034" width="25.6640625" bestFit="1" customWidth="1"/>
    <col min="12035" max="12035" width="30.5546875" bestFit="1" customWidth="1"/>
    <col min="12036" max="12036" width="12.6640625" bestFit="1" customWidth="1"/>
    <col min="12037" max="12046" width="5" bestFit="1" customWidth="1"/>
    <col min="12047" max="12102" width="11.44140625" bestFit="1" customWidth="1"/>
    <col min="12289" max="12289" width="60.109375" bestFit="1" customWidth="1"/>
    <col min="12290" max="12290" width="25.6640625" bestFit="1" customWidth="1"/>
    <col min="12291" max="12291" width="30.5546875" bestFit="1" customWidth="1"/>
    <col min="12292" max="12292" width="12.6640625" bestFit="1" customWidth="1"/>
    <col min="12293" max="12302" width="5" bestFit="1" customWidth="1"/>
    <col min="12303" max="12358" width="11.44140625" bestFit="1" customWidth="1"/>
    <col min="12545" max="12545" width="60.109375" bestFit="1" customWidth="1"/>
    <col min="12546" max="12546" width="25.6640625" bestFit="1" customWidth="1"/>
    <col min="12547" max="12547" width="30.5546875" bestFit="1" customWidth="1"/>
    <col min="12548" max="12548" width="12.6640625" bestFit="1" customWidth="1"/>
    <col min="12549" max="12558" width="5" bestFit="1" customWidth="1"/>
    <col min="12559" max="12614" width="11.44140625" bestFit="1" customWidth="1"/>
    <col min="12801" max="12801" width="60.109375" bestFit="1" customWidth="1"/>
    <col min="12802" max="12802" width="25.6640625" bestFit="1" customWidth="1"/>
    <col min="12803" max="12803" width="30.5546875" bestFit="1" customWidth="1"/>
    <col min="12804" max="12804" width="12.6640625" bestFit="1" customWidth="1"/>
    <col min="12805" max="12814" width="5" bestFit="1" customWidth="1"/>
    <col min="12815" max="12870" width="11.44140625" bestFit="1" customWidth="1"/>
    <col min="13057" max="13057" width="60.109375" bestFit="1" customWidth="1"/>
    <col min="13058" max="13058" width="25.6640625" bestFit="1" customWidth="1"/>
    <col min="13059" max="13059" width="30.5546875" bestFit="1" customWidth="1"/>
    <col min="13060" max="13060" width="12.6640625" bestFit="1" customWidth="1"/>
    <col min="13061" max="13070" width="5" bestFit="1" customWidth="1"/>
    <col min="13071" max="13126" width="11.44140625" bestFit="1" customWidth="1"/>
    <col min="13313" max="13313" width="60.109375" bestFit="1" customWidth="1"/>
    <col min="13314" max="13314" width="25.6640625" bestFit="1" customWidth="1"/>
    <col min="13315" max="13315" width="30.5546875" bestFit="1" customWidth="1"/>
    <col min="13316" max="13316" width="12.6640625" bestFit="1" customWidth="1"/>
    <col min="13317" max="13326" width="5" bestFit="1" customWidth="1"/>
    <col min="13327" max="13382" width="11.44140625" bestFit="1" customWidth="1"/>
    <col min="13569" max="13569" width="60.109375" bestFit="1" customWidth="1"/>
    <col min="13570" max="13570" width="25.6640625" bestFit="1" customWidth="1"/>
    <col min="13571" max="13571" width="30.5546875" bestFit="1" customWidth="1"/>
    <col min="13572" max="13572" width="12.6640625" bestFit="1" customWidth="1"/>
    <col min="13573" max="13582" width="5" bestFit="1" customWidth="1"/>
    <col min="13583" max="13638" width="11.44140625" bestFit="1" customWidth="1"/>
    <col min="13825" max="13825" width="60.109375" bestFit="1" customWidth="1"/>
    <col min="13826" max="13826" width="25.6640625" bestFit="1" customWidth="1"/>
    <col min="13827" max="13827" width="30.5546875" bestFit="1" customWidth="1"/>
    <col min="13828" max="13828" width="12.6640625" bestFit="1" customWidth="1"/>
    <col min="13829" max="13838" width="5" bestFit="1" customWidth="1"/>
    <col min="13839" max="13894" width="11.44140625" bestFit="1" customWidth="1"/>
    <col min="14081" max="14081" width="60.109375" bestFit="1" customWidth="1"/>
    <col min="14082" max="14082" width="25.6640625" bestFit="1" customWidth="1"/>
    <col min="14083" max="14083" width="30.5546875" bestFit="1" customWidth="1"/>
    <col min="14084" max="14084" width="12.6640625" bestFit="1" customWidth="1"/>
    <col min="14085" max="14094" width="5" bestFit="1" customWidth="1"/>
    <col min="14095" max="14150" width="11.44140625" bestFit="1" customWidth="1"/>
    <col min="14337" max="14337" width="60.109375" bestFit="1" customWidth="1"/>
    <col min="14338" max="14338" width="25.6640625" bestFit="1" customWidth="1"/>
    <col min="14339" max="14339" width="30.5546875" bestFit="1" customWidth="1"/>
    <col min="14340" max="14340" width="12.6640625" bestFit="1" customWidth="1"/>
    <col min="14341" max="14350" width="5" bestFit="1" customWidth="1"/>
    <col min="14351" max="14406" width="11.44140625" bestFit="1" customWidth="1"/>
    <col min="14593" max="14593" width="60.109375" bestFit="1" customWidth="1"/>
    <col min="14594" max="14594" width="25.6640625" bestFit="1" customWidth="1"/>
    <col min="14595" max="14595" width="30.5546875" bestFit="1" customWidth="1"/>
    <col min="14596" max="14596" width="12.6640625" bestFit="1" customWidth="1"/>
    <col min="14597" max="14606" width="5" bestFit="1" customWidth="1"/>
    <col min="14607" max="14662" width="11.44140625" bestFit="1" customWidth="1"/>
    <col min="14849" max="14849" width="60.109375" bestFit="1" customWidth="1"/>
    <col min="14850" max="14850" width="25.6640625" bestFit="1" customWidth="1"/>
    <col min="14851" max="14851" width="30.5546875" bestFit="1" customWidth="1"/>
    <col min="14852" max="14852" width="12.6640625" bestFit="1" customWidth="1"/>
    <col min="14853" max="14862" width="5" bestFit="1" customWidth="1"/>
    <col min="14863" max="14918" width="11.44140625" bestFit="1" customWidth="1"/>
    <col min="15105" max="15105" width="60.109375" bestFit="1" customWidth="1"/>
    <col min="15106" max="15106" width="25.6640625" bestFit="1" customWidth="1"/>
    <col min="15107" max="15107" width="30.5546875" bestFit="1" customWidth="1"/>
    <col min="15108" max="15108" width="12.6640625" bestFit="1" customWidth="1"/>
    <col min="15109" max="15118" width="5" bestFit="1" customWidth="1"/>
    <col min="15119" max="15174" width="11.44140625" bestFit="1" customWidth="1"/>
    <col min="15361" max="15361" width="60.109375" bestFit="1" customWidth="1"/>
    <col min="15362" max="15362" width="25.6640625" bestFit="1" customWidth="1"/>
    <col min="15363" max="15363" width="30.5546875" bestFit="1" customWidth="1"/>
    <col min="15364" max="15364" width="12.6640625" bestFit="1" customWidth="1"/>
    <col min="15365" max="15374" width="5" bestFit="1" customWidth="1"/>
    <col min="15375" max="15430" width="11.44140625" bestFit="1" customWidth="1"/>
    <col min="15617" max="15617" width="60.109375" bestFit="1" customWidth="1"/>
    <col min="15618" max="15618" width="25.6640625" bestFit="1" customWidth="1"/>
    <col min="15619" max="15619" width="30.5546875" bestFit="1" customWidth="1"/>
    <col min="15620" max="15620" width="12.6640625" bestFit="1" customWidth="1"/>
    <col min="15621" max="15630" width="5" bestFit="1" customWidth="1"/>
    <col min="15631" max="15686" width="11.44140625" bestFit="1" customWidth="1"/>
    <col min="15873" max="15873" width="60.109375" bestFit="1" customWidth="1"/>
    <col min="15874" max="15874" width="25.6640625" bestFit="1" customWidth="1"/>
    <col min="15875" max="15875" width="30.5546875" bestFit="1" customWidth="1"/>
    <col min="15876" max="15876" width="12.6640625" bestFit="1" customWidth="1"/>
    <col min="15877" max="15886" width="5" bestFit="1" customWidth="1"/>
    <col min="15887" max="15942" width="11.44140625" bestFit="1" customWidth="1"/>
    <col min="16129" max="16129" width="60.109375" bestFit="1" customWidth="1"/>
    <col min="16130" max="16130" width="25.6640625" bestFit="1" customWidth="1"/>
    <col min="16131" max="16131" width="30.5546875" bestFit="1" customWidth="1"/>
    <col min="16132" max="16132" width="12.6640625" bestFit="1" customWidth="1"/>
    <col min="16133" max="16142" width="5" bestFit="1" customWidth="1"/>
    <col min="16143" max="16198" width="11.44140625" bestFit="1" customWidth="1"/>
  </cols>
  <sheetData>
    <row r="1" spans="1:70" x14ac:dyDescent="0.3">
      <c r="A1" t="s">
        <v>477</v>
      </c>
      <c r="B1" t="s">
        <v>478</v>
      </c>
    </row>
    <row r="2" spans="1:70" x14ac:dyDescent="0.3">
      <c r="A2" t="s">
        <v>479</v>
      </c>
      <c r="B2" s="8">
        <v>46077</v>
      </c>
    </row>
    <row r="4" spans="1:70" x14ac:dyDescent="0.3">
      <c r="A4" t="s">
        <v>30</v>
      </c>
      <c r="B4" t="s">
        <v>480</v>
      </c>
      <c r="C4" t="s">
        <v>481</v>
      </c>
      <c r="D4" t="s">
        <v>482</v>
      </c>
      <c r="E4" t="s">
        <v>483</v>
      </c>
      <c r="F4" t="s">
        <v>484</v>
      </c>
      <c r="G4" t="s">
        <v>485</v>
      </c>
      <c r="H4" t="s">
        <v>486</v>
      </c>
      <c r="I4" t="s">
        <v>487</v>
      </c>
      <c r="J4" t="s">
        <v>488</v>
      </c>
      <c r="K4" t="s">
        <v>489</v>
      </c>
      <c r="L4" t="s">
        <v>490</v>
      </c>
      <c r="M4" t="s">
        <v>491</v>
      </c>
      <c r="N4" t="s">
        <v>492</v>
      </c>
      <c r="O4" t="s">
        <v>493</v>
      </c>
      <c r="P4" t="s">
        <v>494</v>
      </c>
      <c r="Q4" t="s">
        <v>495</v>
      </c>
      <c r="R4" t="s">
        <v>496</v>
      </c>
      <c r="S4" t="s">
        <v>497</v>
      </c>
      <c r="T4" t="s">
        <v>498</v>
      </c>
      <c r="U4" t="s">
        <v>499</v>
      </c>
      <c r="V4" t="s">
        <v>500</v>
      </c>
      <c r="W4" t="s">
        <v>501</v>
      </c>
      <c r="X4" t="s">
        <v>502</v>
      </c>
      <c r="Y4" t="s">
        <v>503</v>
      </c>
      <c r="Z4" t="s">
        <v>504</v>
      </c>
      <c r="AA4" t="s">
        <v>505</v>
      </c>
      <c r="AB4" t="s">
        <v>506</v>
      </c>
      <c r="AC4" t="s">
        <v>507</v>
      </c>
      <c r="AD4" t="s">
        <v>508</v>
      </c>
      <c r="AE4" t="s">
        <v>509</v>
      </c>
      <c r="AF4" t="s">
        <v>510</v>
      </c>
      <c r="AG4" t="s">
        <v>511</v>
      </c>
      <c r="AH4" t="s">
        <v>512</v>
      </c>
      <c r="AI4" t="s">
        <v>513</v>
      </c>
      <c r="AJ4" t="s">
        <v>514</v>
      </c>
      <c r="AK4" t="s">
        <v>515</v>
      </c>
      <c r="AL4" t="s">
        <v>516</v>
      </c>
      <c r="AM4" t="s">
        <v>517</v>
      </c>
      <c r="AN4" t="s">
        <v>518</v>
      </c>
      <c r="AO4" t="s">
        <v>519</v>
      </c>
      <c r="AP4" t="s">
        <v>520</v>
      </c>
      <c r="AQ4" t="s">
        <v>521</v>
      </c>
      <c r="AR4" t="s">
        <v>522</v>
      </c>
      <c r="AS4" t="s">
        <v>523</v>
      </c>
      <c r="AT4" t="s">
        <v>524</v>
      </c>
      <c r="AU4" t="s">
        <v>525</v>
      </c>
      <c r="AV4" t="s">
        <v>526</v>
      </c>
      <c r="AW4" t="s">
        <v>527</v>
      </c>
      <c r="AX4" t="s">
        <v>528</v>
      </c>
      <c r="AY4" t="s">
        <v>529</v>
      </c>
      <c r="AZ4" t="s">
        <v>530</v>
      </c>
      <c r="BA4" t="s">
        <v>531</v>
      </c>
      <c r="BB4" t="s">
        <v>532</v>
      </c>
      <c r="BC4" t="s">
        <v>533</v>
      </c>
      <c r="BD4" t="s">
        <v>534</v>
      </c>
      <c r="BE4" t="s">
        <v>535</v>
      </c>
      <c r="BF4" t="s">
        <v>536</v>
      </c>
      <c r="BG4" t="s">
        <v>537</v>
      </c>
      <c r="BH4" t="s">
        <v>538</v>
      </c>
      <c r="BI4" t="s">
        <v>539</v>
      </c>
      <c r="BJ4" t="s">
        <v>540</v>
      </c>
      <c r="BK4" t="s">
        <v>541</v>
      </c>
      <c r="BL4" t="s">
        <v>542</v>
      </c>
      <c r="BM4" t="s">
        <v>31</v>
      </c>
      <c r="BN4" t="s">
        <v>32</v>
      </c>
      <c r="BO4" t="s">
        <v>33</v>
      </c>
      <c r="BP4" t="s">
        <v>34</v>
      </c>
      <c r="BQ4" t="s">
        <v>35</v>
      </c>
      <c r="BR4" t="s">
        <v>543</v>
      </c>
    </row>
    <row r="5" spans="1:70" x14ac:dyDescent="0.3">
      <c r="A5" t="s">
        <v>47</v>
      </c>
      <c r="B5" t="s">
        <v>265</v>
      </c>
      <c r="C5" t="s">
        <v>544</v>
      </c>
      <c r="D5" t="s">
        <v>545</v>
      </c>
      <c r="AT5">
        <v>110.34967041015599</v>
      </c>
      <c r="AU5">
        <v>115.66944885253901</v>
      </c>
      <c r="AV5">
        <v>115.985000610352</v>
      </c>
      <c r="AW5">
        <v>117.217170715332</v>
      </c>
      <c r="AX5">
        <v>116.929039001465</v>
      </c>
      <c r="AY5">
        <v>117.987739562988</v>
      </c>
      <c r="AZ5">
        <v>116.97003936767599</v>
      </c>
      <c r="BA5">
        <v>116.01390075683599</v>
      </c>
      <c r="BB5">
        <v>117.527481079102</v>
      </c>
      <c r="BC5">
        <v>119.79583740234401</v>
      </c>
      <c r="BD5">
        <v>106.37403869628901</v>
      </c>
      <c r="BE5">
        <v>104.07494354248</v>
      </c>
      <c r="BF5">
        <v>114.985320023488</v>
      </c>
      <c r="BG5">
        <v>116.261992182873</v>
      </c>
      <c r="BH5">
        <v>115.01140867059</v>
      </c>
      <c r="BI5">
        <v>113.63746369796699</v>
      </c>
      <c r="BK5">
        <v>107.98516845703099</v>
      </c>
      <c r="BL5">
        <v>108.02500152587901</v>
      </c>
      <c r="BM5">
        <v>107.23533630371099</v>
      </c>
      <c r="BN5">
        <v>108.59951019287099</v>
      </c>
      <c r="BO5">
        <v>102.620727539062</v>
      </c>
      <c r="BQ5">
        <v>107.716996929947</v>
      </c>
    </row>
    <row r="6" spans="1:70" x14ac:dyDescent="0.3">
      <c r="A6" t="s">
        <v>546</v>
      </c>
      <c r="B6" t="s">
        <v>547</v>
      </c>
      <c r="C6" t="s">
        <v>544</v>
      </c>
      <c r="D6" t="s">
        <v>545</v>
      </c>
      <c r="O6">
        <v>61.912559509277301</v>
      </c>
      <c r="P6">
        <v>58.698680877685497</v>
      </c>
      <c r="Q6">
        <v>59.447731018066399</v>
      </c>
      <c r="R6">
        <v>60.606269836425803</v>
      </c>
      <c r="S6">
        <v>64.000228881835895</v>
      </c>
      <c r="T6">
        <v>66.272750854492202</v>
      </c>
      <c r="U6">
        <v>67.754600524902301</v>
      </c>
      <c r="V6">
        <v>69.591659545898395</v>
      </c>
      <c r="W6">
        <v>70.676490783691406</v>
      </c>
      <c r="X6">
        <v>73.460678100585895</v>
      </c>
      <c r="Y6">
        <v>76.4969482421875</v>
      </c>
      <c r="Z6">
        <v>78.203071594238295</v>
      </c>
      <c r="AA6">
        <v>78.612876892089801</v>
      </c>
      <c r="AB6">
        <v>78.332290649414105</v>
      </c>
      <c r="AC6">
        <v>77.473579406738295</v>
      </c>
      <c r="AD6">
        <v>75.094482421875</v>
      </c>
      <c r="AE6">
        <v>74.737312316894503</v>
      </c>
      <c r="AF6">
        <v>73.192070007324205</v>
      </c>
      <c r="AG6">
        <v>72.720176696777301</v>
      </c>
      <c r="AH6">
        <v>74.400657653808594</v>
      </c>
      <c r="AI6">
        <v>72.185226440429702</v>
      </c>
      <c r="AJ6">
        <v>73.733093261718807</v>
      </c>
      <c r="AK6">
        <v>72.365020751953097</v>
      </c>
      <c r="AL6">
        <v>73.059417724609403</v>
      </c>
      <c r="AM6">
        <v>73.054229736328097</v>
      </c>
      <c r="AN6">
        <v>74.826309204101605</v>
      </c>
      <c r="AO6">
        <v>74.578559875488295</v>
      </c>
      <c r="AP6">
        <v>77.695381164550795</v>
      </c>
      <c r="AQ6">
        <v>77.996162414550795</v>
      </c>
      <c r="AR6">
        <v>76.959701538085895</v>
      </c>
      <c r="AS6">
        <v>78.7628173828125</v>
      </c>
      <c r="AT6">
        <v>81.484870910644503</v>
      </c>
      <c r="AU6">
        <v>83.909820556640597</v>
      </c>
      <c r="AV6">
        <v>87.523178100585895</v>
      </c>
      <c r="AW6">
        <v>89.628196716308594</v>
      </c>
      <c r="AX6">
        <v>92.893928527832003</v>
      </c>
      <c r="AY6">
        <v>95.321479797363295</v>
      </c>
      <c r="AZ6">
        <v>98.476608276367202</v>
      </c>
      <c r="BA6">
        <v>102.14649963378901</v>
      </c>
      <c r="BB6">
        <v>101.704643249512</v>
      </c>
      <c r="BC6">
        <v>101.005401611328</v>
      </c>
      <c r="BD6">
        <v>100.985237121582</v>
      </c>
      <c r="BE6">
        <v>101.240112304688</v>
      </c>
      <c r="BF6">
        <v>100.529190063477</v>
      </c>
      <c r="BG6">
        <v>100.93015289306599</v>
      </c>
      <c r="BH6">
        <v>99.697532653808594</v>
      </c>
      <c r="BI6">
        <v>100.34210968017599</v>
      </c>
      <c r="BJ6">
        <v>101.228408813477</v>
      </c>
      <c r="BK6">
        <v>102.624809265137</v>
      </c>
      <c r="BL6">
        <v>103.61061859130901</v>
      </c>
      <c r="BM6">
        <v>104.59194183349599</v>
      </c>
      <c r="BN6">
        <v>103.366081237793</v>
      </c>
      <c r="BO6">
        <v>100.50830078125</v>
      </c>
      <c r="BP6">
        <v>100.85758972168</v>
      </c>
      <c r="BQ6">
        <v>101.309242248535</v>
      </c>
    </row>
    <row r="7" spans="1:70" x14ac:dyDescent="0.3">
      <c r="A7" t="s">
        <v>38</v>
      </c>
      <c r="B7" t="s">
        <v>256</v>
      </c>
      <c r="C7" t="s">
        <v>544</v>
      </c>
      <c r="D7" t="s">
        <v>545</v>
      </c>
      <c r="O7">
        <v>31.651420593261701</v>
      </c>
      <c r="P7">
        <v>32.539718627929702</v>
      </c>
      <c r="Q7">
        <v>32.9628715515137</v>
      </c>
      <c r="R7">
        <v>33.424518585205099</v>
      </c>
      <c r="S7">
        <v>33.962810516357401</v>
      </c>
      <c r="T7">
        <v>34.882488250732401</v>
      </c>
      <c r="U7">
        <v>35.728229522705099</v>
      </c>
      <c r="V7">
        <v>36.462799072265597</v>
      </c>
      <c r="W7">
        <v>37.6821899414062</v>
      </c>
      <c r="Y7">
        <v>43.810108184814503</v>
      </c>
      <c r="Z7">
        <v>49.459789276122997</v>
      </c>
      <c r="AA7">
        <v>20.1360893249512</v>
      </c>
      <c r="AC7">
        <v>24.648439407348601</v>
      </c>
      <c r="AD7">
        <v>25.136360168456999</v>
      </c>
      <c r="AE7">
        <v>26.683240890502901</v>
      </c>
      <c r="AG7">
        <v>34.078140258789098</v>
      </c>
      <c r="AH7">
        <v>31.833389282226602</v>
      </c>
      <c r="AI7">
        <v>30.983039855956999</v>
      </c>
      <c r="AJ7">
        <v>31.6050205230713</v>
      </c>
      <c r="AL7">
        <v>33.955249786377003</v>
      </c>
      <c r="AM7">
        <v>44.788841247558601</v>
      </c>
      <c r="AN7">
        <v>47.661441802978501</v>
      </c>
      <c r="AQ7">
        <v>32.984329223632798</v>
      </c>
      <c r="AR7">
        <v>26.290529251098601</v>
      </c>
      <c r="AS7">
        <v>21.457849502563501</v>
      </c>
      <c r="AT7">
        <v>22.139650344848601</v>
      </c>
      <c r="AU7">
        <v>73.401313781738295</v>
      </c>
      <c r="AV7">
        <v>95.335746765136705</v>
      </c>
      <c r="AW7">
        <v>105.475051879883</v>
      </c>
      <c r="AX7">
        <v>99.50390625</v>
      </c>
      <c r="AY7">
        <v>102.284866333008</v>
      </c>
      <c r="AZ7">
        <v>99.322898864746094</v>
      </c>
      <c r="BA7">
        <v>104.44513702392599</v>
      </c>
      <c r="BB7">
        <v>99.705421447753906</v>
      </c>
      <c r="BC7">
        <v>103.48560333252</v>
      </c>
      <c r="BD7">
        <v>101.54208374023401</v>
      </c>
      <c r="BE7">
        <v>106.575317382812</v>
      </c>
      <c r="BF7">
        <v>107.942840576172</v>
      </c>
      <c r="BG7">
        <v>109.829452514648</v>
      </c>
      <c r="BH7">
        <v>106.773551940918</v>
      </c>
      <c r="BI7">
        <v>106.784042358398</v>
      </c>
      <c r="BJ7">
        <v>106.54354095459</v>
      </c>
      <c r="BK7">
        <v>107.687660217285</v>
      </c>
      <c r="BL7">
        <v>109.075309753418</v>
      </c>
    </row>
    <row r="8" spans="1:70" x14ac:dyDescent="0.3">
      <c r="A8" t="s">
        <v>548</v>
      </c>
      <c r="B8" t="s">
        <v>549</v>
      </c>
      <c r="C8" t="s">
        <v>544</v>
      </c>
      <c r="D8" t="s">
        <v>545</v>
      </c>
      <c r="O8">
        <v>43.0726509094238</v>
      </c>
      <c r="P8">
        <v>44.670730590820298</v>
      </c>
      <c r="Q8">
        <v>46.641609191894503</v>
      </c>
      <c r="R8">
        <v>48.107719421386697</v>
      </c>
      <c r="S8">
        <v>48.214981079101598</v>
      </c>
      <c r="T8">
        <v>48.660488128662102</v>
      </c>
      <c r="U8">
        <v>49.161270141601598</v>
      </c>
      <c r="V8">
        <v>54.849288940429702</v>
      </c>
      <c r="W8">
        <v>62.757591247558601</v>
      </c>
      <c r="X8">
        <v>69.681289672851605</v>
      </c>
      <c r="Y8">
        <v>72.748710632324205</v>
      </c>
      <c r="Z8">
        <v>76.7117919921875</v>
      </c>
      <c r="AA8">
        <v>81.487373352050795</v>
      </c>
      <c r="AB8">
        <v>81.651687622070298</v>
      </c>
      <c r="AC8">
        <v>80.761650085449205</v>
      </c>
      <c r="AD8">
        <v>78.297210693359403</v>
      </c>
      <c r="AE8">
        <v>72.141052246093807</v>
      </c>
      <c r="AF8">
        <v>70.625892639160199</v>
      </c>
      <c r="AG8">
        <v>68.955101013183594</v>
      </c>
      <c r="AH8">
        <v>68.199653625488295</v>
      </c>
      <c r="AI8">
        <v>69.515197753906193</v>
      </c>
      <c r="AJ8">
        <v>69.671333312988295</v>
      </c>
      <c r="AK8">
        <v>71.482917785644503</v>
      </c>
      <c r="AL8">
        <v>73.716728210449205</v>
      </c>
      <c r="AM8">
        <v>74.120529174804702</v>
      </c>
      <c r="AN8">
        <v>72.753356933593807</v>
      </c>
      <c r="AO8">
        <v>68.134696960449205</v>
      </c>
      <c r="AP8">
        <v>71.773521423339801</v>
      </c>
      <c r="AQ8">
        <v>74.614387512207003</v>
      </c>
      <c r="AR8">
        <v>77.440147399902301</v>
      </c>
      <c r="AS8">
        <v>80.579513549804702</v>
      </c>
      <c r="AT8">
        <v>81.115791320800795</v>
      </c>
      <c r="AU8">
        <v>82.838409423828097</v>
      </c>
      <c r="AV8">
        <v>83.583671569824205</v>
      </c>
      <c r="AW8">
        <v>85.468589782714801</v>
      </c>
      <c r="AX8">
        <v>86.378982543945298</v>
      </c>
      <c r="AY8">
        <v>87.106262207031193</v>
      </c>
      <c r="AZ8">
        <v>84.385238647460895</v>
      </c>
      <c r="BA8">
        <v>81.990859985351605</v>
      </c>
      <c r="BB8">
        <v>83.719551086425795</v>
      </c>
      <c r="BC8">
        <v>84.478469848632798</v>
      </c>
      <c r="BD8">
        <v>87.822006225585895</v>
      </c>
      <c r="BE8">
        <v>89.439651489257798</v>
      </c>
      <c r="BF8">
        <v>90.589759826660199</v>
      </c>
      <c r="BG8">
        <v>89.120697021484403</v>
      </c>
      <c r="BH8">
        <v>87.096618652343807</v>
      </c>
      <c r="BI8">
        <v>86.697990417480497</v>
      </c>
      <c r="BJ8">
        <v>86.782539367675795</v>
      </c>
      <c r="BK8">
        <v>86.652351379394503</v>
      </c>
      <c r="BL8">
        <v>87.555557250976605</v>
      </c>
      <c r="BM8">
        <v>88.157623291015597</v>
      </c>
      <c r="BN8">
        <v>88.094856262207003</v>
      </c>
      <c r="BO8">
        <v>89.501922607421903</v>
      </c>
      <c r="BP8">
        <v>90.878036499023395</v>
      </c>
      <c r="BQ8">
        <v>91.060989379882798</v>
      </c>
    </row>
    <row r="9" spans="1:70" x14ac:dyDescent="0.3">
      <c r="A9" t="s">
        <v>43</v>
      </c>
      <c r="B9" t="s">
        <v>261</v>
      </c>
      <c r="C9" t="s">
        <v>544</v>
      </c>
      <c r="D9" t="s">
        <v>545</v>
      </c>
      <c r="P9">
        <v>62.5541801452637</v>
      </c>
      <c r="Q9">
        <v>67.911689758300795</v>
      </c>
      <c r="R9">
        <v>70.039901733398395</v>
      </c>
      <c r="S9">
        <v>75.951171875</v>
      </c>
      <c r="Y9">
        <v>159.81021118164099</v>
      </c>
      <c r="Z9">
        <v>142.36149597168</v>
      </c>
      <c r="AA9">
        <v>133.38214111328099</v>
      </c>
      <c r="AB9">
        <v>120.500518798828</v>
      </c>
      <c r="AC9">
        <v>105.08635711669901</v>
      </c>
      <c r="AD9">
        <v>82.784629821777301</v>
      </c>
      <c r="AE9">
        <v>89.222671508789105</v>
      </c>
      <c r="AF9">
        <v>89.115806579589801</v>
      </c>
      <c r="AG9">
        <v>87.2197265625</v>
      </c>
      <c r="AH9">
        <v>86.705169677734403</v>
      </c>
      <c r="AI9">
        <v>81.085777282714801</v>
      </c>
      <c r="AJ9">
        <v>73.899436950683594</v>
      </c>
      <c r="AK9">
        <v>70.755378723144503</v>
      </c>
      <c r="AQ9">
        <v>76.634407043457003</v>
      </c>
      <c r="AZ9">
        <v>106.34145355224599</v>
      </c>
      <c r="BA9">
        <v>113.292236328125</v>
      </c>
      <c r="BB9">
        <v>112.27895355224599</v>
      </c>
      <c r="BC9">
        <v>113.87258174337001</v>
      </c>
      <c r="BD9">
        <v>128.38634489902901</v>
      </c>
      <c r="BH9">
        <v>120.580276489258</v>
      </c>
      <c r="BN9">
        <v>89.226609466132103</v>
      </c>
      <c r="BP9">
        <v>86.735391878376703</v>
      </c>
    </row>
    <row r="10" spans="1:70" x14ac:dyDescent="0.3">
      <c r="A10" t="s">
        <v>39</v>
      </c>
      <c r="B10" t="s">
        <v>257</v>
      </c>
      <c r="C10" t="s">
        <v>544</v>
      </c>
      <c r="D10" t="s">
        <v>545</v>
      </c>
      <c r="AU10">
        <v>110.338920593262</v>
      </c>
      <c r="AV10">
        <v>107.598258972168</v>
      </c>
      <c r="AW10">
        <v>104.131721496582</v>
      </c>
      <c r="AX10">
        <v>107.016143798828</v>
      </c>
      <c r="AY10">
        <v>105.477783203125</v>
      </c>
      <c r="AZ10">
        <v>103.488441467285</v>
      </c>
      <c r="BA10">
        <v>100.383003234863</v>
      </c>
      <c r="BB10">
        <v>100.92373657226599</v>
      </c>
      <c r="BC10">
        <v>99.861834272208696</v>
      </c>
      <c r="BD10">
        <v>101.580273662891</v>
      </c>
      <c r="BE10">
        <v>102.06736089155901</v>
      </c>
      <c r="BF10">
        <v>101.474954848321</v>
      </c>
      <c r="BG10">
        <v>105.770581813858</v>
      </c>
      <c r="BH10">
        <v>105.68865299160601</v>
      </c>
      <c r="BI10">
        <v>105.324777401077</v>
      </c>
      <c r="BJ10">
        <v>105.414970908323</v>
      </c>
      <c r="BK10">
        <v>104.56801532463901</v>
      </c>
      <c r="BL10">
        <v>102.58954115148001</v>
      </c>
      <c r="BM10">
        <v>100.020970049835</v>
      </c>
      <c r="BN10">
        <v>97.1075038284839</v>
      </c>
      <c r="BO10">
        <v>96.371229930475707</v>
      </c>
      <c r="BP10">
        <v>93.713812013773804</v>
      </c>
      <c r="BQ10">
        <v>111.51165008544901</v>
      </c>
    </row>
    <row r="11" spans="1:70" x14ac:dyDescent="0.3">
      <c r="A11" t="s">
        <v>42</v>
      </c>
      <c r="B11" t="s">
        <v>260</v>
      </c>
      <c r="C11" t="s">
        <v>544</v>
      </c>
      <c r="D11" t="s">
        <v>545</v>
      </c>
      <c r="T11">
        <v>99.544418334960895</v>
      </c>
      <c r="AB11">
        <v>103.19785308837901</v>
      </c>
      <c r="AU11">
        <v>100.48924255371099</v>
      </c>
      <c r="AV11">
        <v>102.448677062988</v>
      </c>
      <c r="AW11">
        <v>99.393943786621094</v>
      </c>
      <c r="AX11">
        <v>90.057319641113295</v>
      </c>
      <c r="AY11">
        <v>90.381813049316406</v>
      </c>
      <c r="AZ11">
        <v>88.540000915527301</v>
      </c>
      <c r="BA11">
        <v>87.037399291992202</v>
      </c>
      <c r="BB11">
        <v>85.024711608886705</v>
      </c>
      <c r="BC11">
        <v>84.944557189941406</v>
      </c>
      <c r="BD11">
        <v>86.225730895996094</v>
      </c>
      <c r="BE11">
        <v>83.518707275390597</v>
      </c>
      <c r="BF11">
        <v>85.051223754882798</v>
      </c>
      <c r="BG11">
        <v>87.026332691072597</v>
      </c>
      <c r="BH11">
        <v>88.595744680851098</v>
      </c>
      <c r="BI11">
        <v>91.041577368195505</v>
      </c>
      <c r="BJ11">
        <v>90.203131612357197</v>
      </c>
      <c r="BK11">
        <v>90.708892617449706</v>
      </c>
      <c r="BL11">
        <v>90.323928944618601</v>
      </c>
      <c r="BM11">
        <v>89.427127211457503</v>
      </c>
      <c r="BN11">
        <v>89.737991266375502</v>
      </c>
      <c r="BO11">
        <v>90.465680865151199</v>
      </c>
      <c r="BP11">
        <v>97.444672598676704</v>
      </c>
      <c r="BQ11">
        <v>99.857954545454504</v>
      </c>
    </row>
    <row r="12" spans="1:70" x14ac:dyDescent="0.3">
      <c r="A12" t="s">
        <v>550</v>
      </c>
      <c r="B12" t="s">
        <v>551</v>
      </c>
      <c r="C12" t="s">
        <v>544</v>
      </c>
      <c r="D12" t="s">
        <v>545</v>
      </c>
      <c r="O12">
        <v>74.427001953125</v>
      </c>
      <c r="P12">
        <v>69.901817321777301</v>
      </c>
      <c r="Q12">
        <v>71.224441528320298</v>
      </c>
      <c r="R12">
        <v>72.337882995605497</v>
      </c>
      <c r="S12">
        <v>72.7994384765625</v>
      </c>
      <c r="T12">
        <v>74.276969909667997</v>
      </c>
      <c r="U12">
        <v>75.750686645507798</v>
      </c>
      <c r="V12">
        <v>76.435722351074205</v>
      </c>
      <c r="W12">
        <v>76.826927185058594</v>
      </c>
      <c r="X12">
        <v>69.803329467773395</v>
      </c>
      <c r="Y12">
        <v>79.137001037597699</v>
      </c>
      <c r="Z12">
        <v>78.966667175292997</v>
      </c>
      <c r="AA12">
        <v>79.612480163574205</v>
      </c>
      <c r="AB12">
        <v>80.216377258300795</v>
      </c>
      <c r="AC12">
        <v>80.979331970214801</v>
      </c>
      <c r="AD12">
        <v>80.815536499023395</v>
      </c>
      <c r="AE12">
        <v>81.5157470703125</v>
      </c>
      <c r="AF12">
        <v>82.444793701171903</v>
      </c>
      <c r="AG12">
        <v>83.1119384765625</v>
      </c>
      <c r="AH12">
        <v>83.058082580566406</v>
      </c>
      <c r="AI12">
        <v>84.048713684082003</v>
      </c>
      <c r="AJ12">
        <v>84.737197875976605</v>
      </c>
      <c r="AK12">
        <v>82.196479797363295</v>
      </c>
      <c r="AL12">
        <v>82.703681945800795</v>
      </c>
      <c r="AM12">
        <v>85.022361755371094</v>
      </c>
      <c r="AN12">
        <v>83.728736877441406</v>
      </c>
      <c r="AO12">
        <v>85.754333496093807</v>
      </c>
      <c r="AP12">
        <v>86.556213378906193</v>
      </c>
      <c r="AQ12">
        <v>86.874420166015597</v>
      </c>
      <c r="AR12">
        <v>87.724426269531193</v>
      </c>
      <c r="AS12">
        <v>88.103256225585895</v>
      </c>
      <c r="AT12">
        <v>88.606910705566406</v>
      </c>
      <c r="AU12">
        <v>89.503158569335895</v>
      </c>
      <c r="AV12">
        <v>90.326881408691406</v>
      </c>
      <c r="AW12">
        <v>90.533248901367202</v>
      </c>
      <c r="AX12">
        <v>90.237190246582003</v>
      </c>
      <c r="AY12">
        <v>91.525817871093807</v>
      </c>
      <c r="AZ12">
        <v>91.225189208984403</v>
      </c>
      <c r="BA12">
        <v>91.463691711425795</v>
      </c>
      <c r="BB12">
        <v>91.379013061523395</v>
      </c>
      <c r="BC12">
        <v>91.695457458496094</v>
      </c>
      <c r="BD12">
        <v>90.811119079589801</v>
      </c>
      <c r="BE12">
        <v>92.145576477050795</v>
      </c>
      <c r="BF12">
        <v>88.686210632324205</v>
      </c>
      <c r="BG12">
        <v>87.774139404296903</v>
      </c>
      <c r="BH12">
        <v>87.707069396972699</v>
      </c>
      <c r="BI12">
        <v>87.868698120117202</v>
      </c>
      <c r="BJ12">
        <v>88.272117614746094</v>
      </c>
      <c r="BK12">
        <v>88.761459350585895</v>
      </c>
      <c r="BL12">
        <v>89.057937622070298</v>
      </c>
      <c r="BM12">
        <v>89.643661499023395</v>
      </c>
      <c r="BN12">
        <v>89.506942749023395</v>
      </c>
      <c r="BO12">
        <v>88.104240417480497</v>
      </c>
      <c r="BP12">
        <v>91.053581237792997</v>
      </c>
      <c r="BQ12">
        <v>91.564071655273395</v>
      </c>
    </row>
    <row r="13" spans="1:70" x14ac:dyDescent="0.3">
      <c r="A13" t="s">
        <v>240</v>
      </c>
      <c r="B13" t="s">
        <v>464</v>
      </c>
      <c r="C13" t="s">
        <v>544</v>
      </c>
      <c r="D13" t="s">
        <v>545</v>
      </c>
      <c r="AT13">
        <v>122.869979858398</v>
      </c>
      <c r="AU13">
        <v>118.775428771973</v>
      </c>
      <c r="AV13">
        <v>117.259651184082</v>
      </c>
      <c r="AW13">
        <v>110.694122314453</v>
      </c>
      <c r="AX13">
        <v>105.71990966796901</v>
      </c>
      <c r="AY13">
        <v>100.25807189941401</v>
      </c>
      <c r="BK13">
        <v>105.675358079069</v>
      </c>
      <c r="BL13">
        <v>107.533197014116</v>
      </c>
      <c r="BM13">
        <v>108.069803864287</v>
      </c>
      <c r="BN13">
        <v>106.652834923572</v>
      </c>
      <c r="BO13">
        <v>107.28743152738799</v>
      </c>
      <c r="BP13">
        <v>106.25995030356199</v>
      </c>
      <c r="BQ13">
        <v>108.04442061785799</v>
      </c>
    </row>
    <row r="14" spans="1:70" x14ac:dyDescent="0.3">
      <c r="A14" t="s">
        <v>45</v>
      </c>
      <c r="B14" t="s">
        <v>263</v>
      </c>
      <c r="C14" t="s">
        <v>544</v>
      </c>
      <c r="D14" t="s">
        <v>545</v>
      </c>
      <c r="O14">
        <v>105.226760864258</v>
      </c>
      <c r="P14">
        <v>106.13771820068401</v>
      </c>
      <c r="Q14">
        <v>105.921112060547</v>
      </c>
      <c r="R14">
        <v>105.967742919922</v>
      </c>
      <c r="S14">
        <v>106.928817749023</v>
      </c>
      <c r="T14">
        <v>106.597358703613</v>
      </c>
      <c r="U14">
        <v>106.326446533203</v>
      </c>
      <c r="V14">
        <v>107.213661193848</v>
      </c>
      <c r="W14">
        <v>106.62062072753901</v>
      </c>
      <c r="X14">
        <v>106.773086547852</v>
      </c>
      <c r="Y14">
        <v>106.572631835938</v>
      </c>
      <c r="Z14">
        <v>107.081596374512</v>
      </c>
      <c r="AA14">
        <v>107.572708129883</v>
      </c>
      <c r="AC14">
        <v>106.792488098145</v>
      </c>
      <c r="AD14">
        <v>107.549728393555</v>
      </c>
      <c r="AE14">
        <v>109.186721801758</v>
      </c>
      <c r="AF14">
        <v>109.79135131835901</v>
      </c>
      <c r="AG14">
        <v>110.07431030273401</v>
      </c>
      <c r="AI14">
        <v>107.306182861328</v>
      </c>
      <c r="AJ14">
        <v>108.60845947265599</v>
      </c>
      <c r="AM14">
        <v>111.17201995849599</v>
      </c>
      <c r="AO14">
        <v>111.643989562988</v>
      </c>
      <c r="AP14">
        <v>108.679977416992</v>
      </c>
      <c r="AQ14">
        <v>113.21425628662099</v>
      </c>
      <c r="AR14">
        <v>115.890823364258</v>
      </c>
      <c r="AS14">
        <v>116.558296203613</v>
      </c>
      <c r="AT14">
        <v>116.74933624267599</v>
      </c>
      <c r="AU14">
        <v>116.877983093262</v>
      </c>
      <c r="AV14">
        <v>114.37532043457</v>
      </c>
      <c r="AW14">
        <v>115.446090698242</v>
      </c>
      <c r="AX14">
        <v>114.580780029297</v>
      </c>
      <c r="AY14">
        <v>116.187850952148</v>
      </c>
      <c r="AZ14">
        <v>117.23631286621099</v>
      </c>
      <c r="BA14">
        <v>118.32012939453099</v>
      </c>
      <c r="BB14">
        <v>118.29331207275401</v>
      </c>
      <c r="BC14">
        <v>118.12819671630901</v>
      </c>
      <c r="BD14">
        <v>117.372833251953</v>
      </c>
      <c r="BE14">
        <v>116.43643951416</v>
      </c>
      <c r="BF14">
        <v>114.421348571777</v>
      </c>
      <c r="BG14">
        <v>113.87351989746099</v>
      </c>
      <c r="BH14">
        <v>112.936653137207</v>
      </c>
      <c r="BI14">
        <v>111.654647827148</v>
      </c>
      <c r="BJ14">
        <v>109.879669189453</v>
      </c>
      <c r="BK14">
        <v>109.305458068848</v>
      </c>
      <c r="BL14">
        <v>109.338218688965</v>
      </c>
      <c r="BM14">
        <v>108.50462341308599</v>
      </c>
      <c r="BN14">
        <v>108.139617919922</v>
      </c>
      <c r="BO14">
        <v>106.75982666015599</v>
      </c>
      <c r="BP14">
        <v>102.535244031037</v>
      </c>
    </row>
    <row r="15" spans="1:70" x14ac:dyDescent="0.3">
      <c r="A15" t="s">
        <v>46</v>
      </c>
      <c r="B15" t="s">
        <v>264</v>
      </c>
      <c r="C15" t="s">
        <v>544</v>
      </c>
      <c r="D15" t="s">
        <v>545</v>
      </c>
      <c r="AJ15">
        <v>105.598472595215</v>
      </c>
      <c r="AK15">
        <v>97.804656982421903</v>
      </c>
      <c r="AL15">
        <v>97.222938537597699</v>
      </c>
      <c r="AM15">
        <v>87.241180419921903</v>
      </c>
      <c r="AN15">
        <v>81.290977478027301</v>
      </c>
      <c r="AO15">
        <v>81.190826416015597</v>
      </c>
      <c r="AP15">
        <v>110.736938476562</v>
      </c>
      <c r="AQ15">
        <v>110.953819274902</v>
      </c>
      <c r="AR15">
        <v>117.94825744628901</v>
      </c>
      <c r="AS15">
        <v>90.634719848632798</v>
      </c>
      <c r="AT15">
        <v>100.956871032715</v>
      </c>
      <c r="AU15">
        <v>100.27548980712901</v>
      </c>
      <c r="AV15">
        <v>102.086128234863</v>
      </c>
      <c r="AW15">
        <v>102.151290893555</v>
      </c>
      <c r="AX15">
        <v>100.4091796875</v>
      </c>
      <c r="AY15">
        <v>103.896697998047</v>
      </c>
      <c r="AZ15">
        <v>116.752250671387</v>
      </c>
      <c r="BA15">
        <v>117.70143890380901</v>
      </c>
      <c r="BB15">
        <v>113.782722473145</v>
      </c>
      <c r="BC15">
        <v>100.985866600546</v>
      </c>
      <c r="BD15">
        <v>98.334903726506994</v>
      </c>
      <c r="BE15">
        <v>97.088127440875596</v>
      </c>
      <c r="BF15">
        <v>95.874292726157194</v>
      </c>
      <c r="BG15">
        <v>94.417760346620895</v>
      </c>
      <c r="BH15">
        <v>93.088059144008994</v>
      </c>
      <c r="BI15">
        <v>93.110800353678201</v>
      </c>
      <c r="BJ15">
        <v>93.098995783637605</v>
      </c>
      <c r="BK15">
        <v>92.134500816757907</v>
      </c>
      <c r="BL15">
        <v>92.322824052759699</v>
      </c>
      <c r="BM15">
        <v>92.869261806125905</v>
      </c>
      <c r="BN15">
        <v>94.639220382878094</v>
      </c>
      <c r="BO15">
        <v>96.945429655901904</v>
      </c>
      <c r="BP15">
        <v>98.089987819120196</v>
      </c>
      <c r="BQ15">
        <v>101.990554375733</v>
      </c>
    </row>
    <row r="16" spans="1:70" x14ac:dyDescent="0.3">
      <c r="A16" t="s">
        <v>41</v>
      </c>
      <c r="B16" t="s">
        <v>259</v>
      </c>
      <c r="C16" t="s">
        <v>544</v>
      </c>
      <c r="D16" t="s">
        <v>545</v>
      </c>
      <c r="AA16">
        <v>98.151649475097699</v>
      </c>
      <c r="AB16">
        <v>97.0509033203125</v>
      </c>
      <c r="AC16">
        <v>99.8480224609375</v>
      </c>
      <c r="AD16">
        <v>102.76732635498</v>
      </c>
      <c r="AE16">
        <v>100.626960754395</v>
      </c>
      <c r="AF16">
        <v>99.124481201171903</v>
      </c>
      <c r="AG16">
        <v>99.149299621582003</v>
      </c>
      <c r="AH16">
        <v>99.831771850585895</v>
      </c>
      <c r="AI16">
        <v>100.716552734375</v>
      </c>
      <c r="AJ16">
        <v>95.050422668457003</v>
      </c>
      <c r="AK16">
        <v>89.907630920410199</v>
      </c>
    </row>
    <row r="17" spans="1:69" x14ac:dyDescent="0.3">
      <c r="A17" t="s">
        <v>44</v>
      </c>
      <c r="B17" t="s">
        <v>262</v>
      </c>
      <c r="C17" t="s">
        <v>544</v>
      </c>
      <c r="D17" t="s">
        <v>545</v>
      </c>
      <c r="P17">
        <v>72.219322204589801</v>
      </c>
      <c r="Q17">
        <v>90.211601257324205</v>
      </c>
      <c r="S17">
        <v>90.488098144531193</v>
      </c>
      <c r="T17">
        <v>91.181129455566406</v>
      </c>
      <c r="U17">
        <v>99.867897033691406</v>
      </c>
      <c r="V17">
        <v>101.47866058349599</v>
      </c>
      <c r="W17">
        <v>99.715347290039105</v>
      </c>
      <c r="X17">
        <v>98.882568359375</v>
      </c>
      <c r="AC17">
        <v>137.29365539550801</v>
      </c>
      <c r="AK17">
        <v>104.460166931152</v>
      </c>
      <c r="AN17">
        <v>117.209350585938</v>
      </c>
      <c r="AS17">
        <v>135.14215087890599</v>
      </c>
      <c r="AZ17">
        <v>116.446899414062</v>
      </c>
      <c r="BA17">
        <v>118.499542236328</v>
      </c>
      <c r="BB17">
        <v>117.937446594238</v>
      </c>
      <c r="BC17">
        <v>120.18367767334</v>
      </c>
      <c r="BD17">
        <v>117.19931030273401</v>
      </c>
      <c r="BE17">
        <v>113.61956787109401</v>
      </c>
      <c r="BF17">
        <v>113.245916212913</v>
      </c>
      <c r="BG17">
        <v>112.459922790527</v>
      </c>
      <c r="BH17">
        <v>110.39658355712901</v>
      </c>
      <c r="BI17">
        <v>107.432655305113</v>
      </c>
      <c r="BJ17">
        <v>109.74291229248</v>
      </c>
      <c r="BK17">
        <v>112.740837097168</v>
      </c>
      <c r="BL17">
        <v>112.847576892521</v>
      </c>
      <c r="BO17">
        <v>121.563206835888</v>
      </c>
      <c r="BP17">
        <v>112.255406797116</v>
      </c>
    </row>
    <row r="18" spans="1:69" x14ac:dyDescent="0.3">
      <c r="A18" t="s">
        <v>48</v>
      </c>
      <c r="B18" t="s">
        <v>266</v>
      </c>
      <c r="C18" t="s">
        <v>544</v>
      </c>
      <c r="D18" t="s">
        <v>545</v>
      </c>
      <c r="AS18">
        <v>101.583541870117</v>
      </c>
      <c r="AT18">
        <v>101.439407348633</v>
      </c>
      <c r="AU18">
        <v>102.534507751465</v>
      </c>
      <c r="AV18">
        <v>102.85475921630901</v>
      </c>
      <c r="AW18">
        <v>103.30206298828099</v>
      </c>
      <c r="AX18">
        <v>103.397911071777</v>
      </c>
      <c r="AY18">
        <v>103.56256103515599</v>
      </c>
      <c r="AZ18">
        <v>105.422981262207</v>
      </c>
      <c r="BA18">
        <v>105.24462890625</v>
      </c>
      <c r="BB18">
        <v>105.215629577637</v>
      </c>
      <c r="BC18">
        <v>105.48850250244099</v>
      </c>
      <c r="BD18">
        <v>105.27487945556599</v>
      </c>
      <c r="BE18">
        <v>105.669723510742</v>
      </c>
      <c r="BF18">
        <v>105.80258178710901</v>
      </c>
      <c r="BG18">
        <v>105.46160125732401</v>
      </c>
      <c r="BH18">
        <v>101.665489196777</v>
      </c>
      <c r="BI18">
        <v>101.18068695068401</v>
      </c>
      <c r="BJ18">
        <v>100.637657165527</v>
      </c>
      <c r="BK18">
        <v>100.398712158203</v>
      </c>
      <c r="BL18">
        <v>100.199699401855</v>
      </c>
      <c r="BM18">
        <v>99.901107788085895</v>
      </c>
      <c r="BN18">
        <v>99.929153442382798</v>
      </c>
      <c r="BO18">
        <v>99.132987976074205</v>
      </c>
      <c r="BP18">
        <v>99.365753173828097</v>
      </c>
    </row>
    <row r="19" spans="1:69" x14ac:dyDescent="0.3">
      <c r="A19" t="s">
        <v>49</v>
      </c>
      <c r="B19" t="s">
        <v>267</v>
      </c>
      <c r="C19" t="s">
        <v>544</v>
      </c>
      <c r="D19" t="s">
        <v>545</v>
      </c>
      <c r="AS19">
        <v>101.86939239502</v>
      </c>
      <c r="AT19">
        <v>102.47102355957</v>
      </c>
      <c r="AU19">
        <v>102.81072235107401</v>
      </c>
      <c r="AV19">
        <v>102.384437561035</v>
      </c>
      <c r="AW19">
        <v>102.73641967773401</v>
      </c>
      <c r="AX19">
        <v>102.08748626709</v>
      </c>
      <c r="AY19">
        <v>102.310897827148</v>
      </c>
      <c r="AZ19">
        <v>102.77165985107401</v>
      </c>
      <c r="BA19">
        <v>102.266273498535</v>
      </c>
      <c r="BB19">
        <v>101.36131286621099</v>
      </c>
      <c r="BC19">
        <v>100.83554077148401</v>
      </c>
      <c r="BD19">
        <v>100.55832672119099</v>
      </c>
      <c r="BE19">
        <v>100.33511352539099</v>
      </c>
      <c r="BF19">
        <v>100.74607849121099</v>
      </c>
      <c r="BG19">
        <v>100.970321655273</v>
      </c>
      <c r="BH19">
        <v>101.10439300537099</v>
      </c>
      <c r="BI19">
        <v>100.42807769775401</v>
      </c>
      <c r="BJ19">
        <v>101.104568481445</v>
      </c>
      <c r="BK19">
        <v>101.37030029296901</v>
      </c>
      <c r="BL19">
        <v>101.776290893555</v>
      </c>
      <c r="BM19">
        <v>101.56085205078099</v>
      </c>
      <c r="BN19">
        <v>101.644119262695</v>
      </c>
      <c r="BO19">
        <v>100.77562713623</v>
      </c>
      <c r="BP19">
        <v>100.902870178223</v>
      </c>
    </row>
    <row r="20" spans="1:69" x14ac:dyDescent="0.3">
      <c r="A20" t="s">
        <v>50</v>
      </c>
      <c r="B20" t="s">
        <v>268</v>
      </c>
      <c r="C20" t="s">
        <v>544</v>
      </c>
      <c r="D20" t="s">
        <v>545</v>
      </c>
      <c r="AS20">
        <v>97.207489013671903</v>
      </c>
      <c r="AT20">
        <v>98.861000061035199</v>
      </c>
      <c r="AU20">
        <v>98.349426269531193</v>
      </c>
      <c r="AV20">
        <v>96.213241577148395</v>
      </c>
      <c r="AW20">
        <v>97.261329650878906</v>
      </c>
      <c r="AX20">
        <v>95.526969909667997</v>
      </c>
      <c r="AY20">
        <v>94.216659545898395</v>
      </c>
      <c r="AZ20">
        <v>94.771202087402301</v>
      </c>
      <c r="BA20">
        <v>94.072471618652301</v>
      </c>
      <c r="BB20">
        <v>95.068572998046903</v>
      </c>
      <c r="BC20">
        <v>93.762303173561605</v>
      </c>
      <c r="BD20">
        <v>95.573632238702004</v>
      </c>
      <c r="BE20">
        <v>97.9553073516457</v>
      </c>
      <c r="BF20">
        <v>100.500447800934</v>
      </c>
      <c r="BG20">
        <v>106.05988593155899</v>
      </c>
      <c r="BH20">
        <v>106.601494422512</v>
      </c>
      <c r="BI20">
        <v>106.431739366993</v>
      </c>
      <c r="BJ20">
        <v>103.29410004064501</v>
      </c>
      <c r="BK20">
        <v>99.7221014157127</v>
      </c>
      <c r="BL20">
        <v>97.935350334902395</v>
      </c>
      <c r="BM20">
        <v>98.236071389783902</v>
      </c>
      <c r="BN20">
        <v>97.730500104459693</v>
      </c>
      <c r="BO20">
        <v>99.808297724414302</v>
      </c>
      <c r="BP20">
        <v>101.979698816442</v>
      </c>
      <c r="BQ20">
        <v>105.625024046785</v>
      </c>
    </row>
    <row r="21" spans="1:69" x14ac:dyDescent="0.3">
      <c r="A21" t="s">
        <v>69</v>
      </c>
      <c r="B21" t="s">
        <v>287</v>
      </c>
      <c r="C21" t="s">
        <v>544</v>
      </c>
      <c r="D21" t="s">
        <v>545</v>
      </c>
      <c r="P21">
        <v>27.902540206909201</v>
      </c>
      <c r="Q21">
        <v>26.965570449829102</v>
      </c>
      <c r="R21">
        <v>23.574239730835</v>
      </c>
      <c r="S21">
        <v>21.3160305023193</v>
      </c>
      <c r="T21">
        <v>21.1686401367188</v>
      </c>
      <c r="U21">
        <v>20.641820907592798</v>
      </c>
      <c r="V21">
        <v>20.343490600585898</v>
      </c>
      <c r="W21">
        <v>21.432020187377901</v>
      </c>
      <c r="X21">
        <v>21.4108791351318</v>
      </c>
      <c r="Y21">
        <v>22.8950290679932</v>
      </c>
      <c r="Z21">
        <v>24.6633701324463</v>
      </c>
      <c r="AA21">
        <v>28.4392395019531</v>
      </c>
      <c r="AB21">
        <v>34.856498718261697</v>
      </c>
      <c r="AC21">
        <v>39.575759887695298</v>
      </c>
      <c r="AD21">
        <v>43.895881652832003</v>
      </c>
      <c r="AE21">
        <v>47.988079071044901</v>
      </c>
      <c r="AF21">
        <v>54.013038635253899</v>
      </c>
      <c r="AG21">
        <v>61.161220550537102</v>
      </c>
      <c r="AH21">
        <v>62.256370544433601</v>
      </c>
      <c r="AI21">
        <v>62.585891723632798</v>
      </c>
      <c r="AJ21">
        <v>63.764801025390597</v>
      </c>
      <c r="AK21">
        <v>61.289188385009801</v>
      </c>
      <c r="AL21">
        <v>61.1928100585938</v>
      </c>
      <c r="AN21">
        <v>47.974048614502003</v>
      </c>
      <c r="AO21">
        <v>37.982490539550803</v>
      </c>
      <c r="AP21">
        <v>39.926231384277301</v>
      </c>
      <c r="AQ21">
        <v>48.1120796203613</v>
      </c>
      <c r="AR21">
        <v>57.244590759277301</v>
      </c>
      <c r="AS21">
        <v>59.236831665039098</v>
      </c>
      <c r="AT21">
        <v>61.9382514953613</v>
      </c>
      <c r="AU21">
        <v>68.637992858886705</v>
      </c>
      <c r="AV21">
        <v>74.176963806152301</v>
      </c>
      <c r="AW21">
        <v>79.255439758300795</v>
      </c>
      <c r="AX21">
        <v>84.503593444824205</v>
      </c>
      <c r="AY21">
        <v>107.597122192383</v>
      </c>
      <c r="AZ21">
        <v>120.352416992188</v>
      </c>
      <c r="BA21">
        <v>123.768852233887</v>
      </c>
      <c r="BB21">
        <v>131.40083312988301</v>
      </c>
      <c r="BC21">
        <v>135.15973477216801</v>
      </c>
      <c r="BD21">
        <v>135.99222215915501</v>
      </c>
      <c r="BE21">
        <v>131.35714209347299</v>
      </c>
      <c r="BF21">
        <v>126.110240344608</v>
      </c>
      <c r="BG21">
        <v>121.424109579602</v>
      </c>
      <c r="BH21">
        <v>116.228128078144</v>
      </c>
      <c r="BI21">
        <v>112.48212415555901</v>
      </c>
      <c r="BJ21">
        <v>107.55418011941001</v>
      </c>
      <c r="BK21">
        <v>104.256445289133</v>
      </c>
      <c r="BL21">
        <v>101.506122486696</v>
      </c>
      <c r="BM21">
        <v>101.661087301601</v>
      </c>
    </row>
    <row r="22" spans="1:69" x14ac:dyDescent="0.3">
      <c r="A22" t="s">
        <v>56</v>
      </c>
      <c r="B22" t="s">
        <v>274</v>
      </c>
      <c r="C22" t="s">
        <v>544</v>
      </c>
      <c r="D22" t="s">
        <v>545</v>
      </c>
      <c r="AS22">
        <v>102.90737152099599</v>
      </c>
      <c r="AT22">
        <v>103.42669677734401</v>
      </c>
      <c r="AU22">
        <v>103.605331420898</v>
      </c>
      <c r="AV22">
        <v>103.77693939209</v>
      </c>
      <c r="AW22">
        <v>103.039421081543</v>
      </c>
      <c r="AX22">
        <v>103.112442016602</v>
      </c>
      <c r="AY22">
        <v>102.793403625488</v>
      </c>
      <c r="AZ22">
        <v>102.451301574707</v>
      </c>
      <c r="BA22">
        <v>102.265731811523</v>
      </c>
      <c r="BB22">
        <v>102.25946044921901</v>
      </c>
      <c r="BC22">
        <v>102.236808776855</v>
      </c>
      <c r="BD22">
        <v>101.269889831543</v>
      </c>
      <c r="BE22">
        <v>101.52036285400401</v>
      </c>
      <c r="BF22">
        <v>103.19106292724599</v>
      </c>
      <c r="BG22">
        <v>103.104873657227</v>
      </c>
      <c r="BH22">
        <v>102.24382781982401</v>
      </c>
      <c r="BI22">
        <v>102.055862426758</v>
      </c>
      <c r="BJ22">
        <v>102.75286102294901</v>
      </c>
      <c r="BK22">
        <v>102.500366210938</v>
      </c>
      <c r="BL22">
        <v>102.148559570312</v>
      </c>
      <c r="BM22">
        <v>102.06427001953099</v>
      </c>
      <c r="BN22">
        <v>101.82113647460901</v>
      </c>
      <c r="BO22">
        <v>102.17698669433599</v>
      </c>
      <c r="BP22">
        <v>102.10800933837901</v>
      </c>
    </row>
    <row r="23" spans="1:69" x14ac:dyDescent="0.3">
      <c r="A23" t="s">
        <v>58</v>
      </c>
      <c r="B23" t="s">
        <v>276</v>
      </c>
      <c r="C23" t="s">
        <v>544</v>
      </c>
      <c r="D23" t="s">
        <v>545</v>
      </c>
      <c r="P23">
        <v>31.7282104492188</v>
      </c>
      <c r="Q23">
        <v>34.342628479003899</v>
      </c>
      <c r="R23">
        <v>37.819320678710902</v>
      </c>
      <c r="S23">
        <v>36.482059478759801</v>
      </c>
      <c r="T23">
        <v>42.478839874267599</v>
      </c>
      <c r="U23">
        <v>43.997200012207003</v>
      </c>
      <c r="V23">
        <v>46.044139862060497</v>
      </c>
      <c r="W23">
        <v>46.982479095458999</v>
      </c>
      <c r="X23">
        <v>52.693450927734403</v>
      </c>
      <c r="Y23">
        <v>53.9675903320312</v>
      </c>
      <c r="Z23">
        <v>55.7269096374512</v>
      </c>
      <c r="AA23">
        <v>59.678359985351598</v>
      </c>
      <c r="AB23">
        <v>61.373401641845703</v>
      </c>
      <c r="AC23">
        <v>59.718879699707003</v>
      </c>
      <c r="AD23">
        <v>60.0040283203125</v>
      </c>
      <c r="AE23">
        <v>58.058780670166001</v>
      </c>
      <c r="AF23">
        <v>58.282989501953097</v>
      </c>
      <c r="AG23">
        <v>57.117511749267599</v>
      </c>
      <c r="AH23">
        <v>56.424839019775398</v>
      </c>
      <c r="AI23">
        <v>47.152030944824197</v>
      </c>
      <c r="AJ23">
        <v>53.251968383789098</v>
      </c>
      <c r="AK23">
        <v>56.132408142089801</v>
      </c>
      <c r="AL23">
        <v>60.9652709960938</v>
      </c>
      <c r="AM23">
        <v>61.338798522949197</v>
      </c>
      <c r="AN23">
        <v>64.690361022949205</v>
      </c>
      <c r="AO23">
        <v>66.987091064453097</v>
      </c>
      <c r="AP23">
        <v>70.754081726074205</v>
      </c>
      <c r="AQ23">
        <v>73.890342712402301</v>
      </c>
      <c r="AR23">
        <v>74.323776245117202</v>
      </c>
      <c r="AS23">
        <v>77.292800903320298</v>
      </c>
      <c r="AT23">
        <v>84.478553771972699</v>
      </c>
      <c r="AU23">
        <v>89.592956542968807</v>
      </c>
      <c r="AV23">
        <v>93.192108154296903</v>
      </c>
      <c r="AW23">
        <v>96.987159729003906</v>
      </c>
      <c r="AX23">
        <v>94.214569091796903</v>
      </c>
      <c r="AY23">
        <v>94.332542419433594</v>
      </c>
      <c r="BA23">
        <v>106.483963012695</v>
      </c>
      <c r="BB23">
        <v>111.44181060791</v>
      </c>
      <c r="BC23">
        <v>112.79595947265599</v>
      </c>
      <c r="BD23">
        <v>114.72312927246099</v>
      </c>
      <c r="BE23">
        <v>118.54148101806599</v>
      </c>
      <c r="BF23">
        <v>119.383087158203</v>
      </c>
      <c r="BG23">
        <v>119.67539215087901</v>
      </c>
      <c r="BH23">
        <v>121.990882873535</v>
      </c>
      <c r="BI23">
        <v>120.30111694335901</v>
      </c>
      <c r="BJ23">
        <v>116.29151916503901</v>
      </c>
      <c r="BK23">
        <v>111.805068969727</v>
      </c>
      <c r="BL23">
        <v>106.79840087890599</v>
      </c>
      <c r="BM23">
        <v>104.033172607422</v>
      </c>
      <c r="BN23">
        <v>105.631301879883</v>
      </c>
      <c r="BO23">
        <v>108.036239624023</v>
      </c>
    </row>
    <row r="24" spans="1:69" x14ac:dyDescent="0.3">
      <c r="A24" t="s">
        <v>68</v>
      </c>
      <c r="B24" t="s">
        <v>286</v>
      </c>
      <c r="C24" t="s">
        <v>544</v>
      </c>
      <c r="D24" t="s">
        <v>545</v>
      </c>
      <c r="P24">
        <v>12.4882202148438</v>
      </c>
      <c r="Q24">
        <v>12.9474697113037</v>
      </c>
      <c r="R24">
        <v>13.246129989624</v>
      </c>
      <c r="S24">
        <v>13.722410202026399</v>
      </c>
      <c r="T24">
        <v>14.2994298934937</v>
      </c>
      <c r="U24">
        <v>14.7190799713135</v>
      </c>
      <c r="V24">
        <v>15.166760444641101</v>
      </c>
      <c r="W24">
        <v>15.8446397781372</v>
      </c>
      <c r="X24">
        <v>16.4888191223144</v>
      </c>
      <c r="Y24">
        <v>17.395099639892599</v>
      </c>
      <c r="Z24">
        <v>18.4598293304443</v>
      </c>
      <c r="AA24">
        <v>19.9122009277344</v>
      </c>
      <c r="AB24">
        <v>21.5983390808106</v>
      </c>
      <c r="AC24">
        <v>23.058210372924801</v>
      </c>
      <c r="AD24">
        <v>25.1833400726318</v>
      </c>
      <c r="AE24">
        <v>27.1709899902344</v>
      </c>
      <c r="AF24">
        <v>28.9729499816894</v>
      </c>
      <c r="AG24">
        <v>29.396610260009801</v>
      </c>
      <c r="AH24">
        <v>30.458410263061499</v>
      </c>
      <c r="AI24">
        <v>31.330329895019499</v>
      </c>
      <c r="AJ24">
        <v>32.286548614502003</v>
      </c>
      <c r="AK24">
        <v>32.840629577636697</v>
      </c>
      <c r="AL24">
        <v>33.778541564941399</v>
      </c>
      <c r="AM24">
        <v>34.949630737304702</v>
      </c>
      <c r="AN24">
        <v>36.812168121337898</v>
      </c>
      <c r="AO24">
        <v>38.6461181640625</v>
      </c>
      <c r="AQ24">
        <v>40.838321685791001</v>
      </c>
      <c r="AR24">
        <v>41.913490295410199</v>
      </c>
      <c r="AS24">
        <v>42.817531585693402</v>
      </c>
      <c r="AT24">
        <v>44.338138580322301</v>
      </c>
      <c r="AU24">
        <v>45.133090972900398</v>
      </c>
      <c r="AV24">
        <v>47.5335502624512</v>
      </c>
      <c r="AW24">
        <v>52.179088592529297</v>
      </c>
      <c r="AX24">
        <v>56.6982612609863</v>
      </c>
      <c r="AY24">
        <v>60.375</v>
      </c>
      <c r="AZ24">
        <v>65.889183044433594</v>
      </c>
      <c r="BA24">
        <v>71.366218566894503</v>
      </c>
      <c r="BB24">
        <v>75.785896301269503</v>
      </c>
      <c r="BC24">
        <v>76.405529953917096</v>
      </c>
      <c r="BD24">
        <v>79.732215134657096</v>
      </c>
      <c r="BE24">
        <v>81.981742515679997</v>
      </c>
      <c r="BF24">
        <v>83.289089286299202</v>
      </c>
      <c r="BG24">
        <v>84.553871628592205</v>
      </c>
      <c r="BH24">
        <v>85.148482771355404</v>
      </c>
      <c r="BI24">
        <v>87.406525593581506</v>
      </c>
      <c r="BJ24">
        <v>89.511832904290301</v>
      </c>
      <c r="BK24">
        <v>91.501977130641905</v>
      </c>
      <c r="BL24">
        <v>89.786156404382297</v>
      </c>
      <c r="BM24">
        <v>87.698847343753798</v>
      </c>
      <c r="BN24">
        <v>87.018335361719807</v>
      </c>
      <c r="BO24">
        <v>82.256706432091605</v>
      </c>
      <c r="BP24">
        <v>72.2385948607578</v>
      </c>
      <c r="BQ24">
        <v>77.166592550410797</v>
      </c>
    </row>
    <row r="25" spans="1:69" x14ac:dyDescent="0.3">
      <c r="A25" t="s">
        <v>53</v>
      </c>
      <c r="B25" t="s">
        <v>271</v>
      </c>
      <c r="C25" t="s">
        <v>544</v>
      </c>
      <c r="D25" t="s">
        <v>545</v>
      </c>
      <c r="O25">
        <v>53.323581695556598</v>
      </c>
      <c r="P25">
        <v>49.652820587158203</v>
      </c>
      <c r="Q25">
        <v>62.130329132080099</v>
      </c>
      <c r="R25">
        <v>73.660987854003906</v>
      </c>
      <c r="S25">
        <v>71.537406921386705</v>
      </c>
      <c r="T25">
        <v>75.488960266113295</v>
      </c>
      <c r="U25">
        <v>76.747970581054702</v>
      </c>
      <c r="V25">
        <v>71.065170288085895</v>
      </c>
      <c r="W25">
        <v>68.655296325683594</v>
      </c>
      <c r="X25">
        <v>66.493301391601605</v>
      </c>
      <c r="Y25">
        <v>64.193008422851605</v>
      </c>
      <c r="Z25">
        <v>62.352790832519503</v>
      </c>
      <c r="AA25">
        <v>63.546520233154297</v>
      </c>
      <c r="AB25">
        <v>64.535926818847699</v>
      </c>
      <c r="AC25">
        <v>63.821449279785199</v>
      </c>
      <c r="AD25">
        <v>62.442188262939503</v>
      </c>
      <c r="AE25">
        <v>62.466541290283203</v>
      </c>
      <c r="AF25">
        <v>61.750579833984403</v>
      </c>
      <c r="AG25">
        <v>72.727241516113295</v>
      </c>
      <c r="AH25">
        <v>72.561286926269503</v>
      </c>
      <c r="AI25">
        <v>75.415443420410199</v>
      </c>
      <c r="AX25">
        <v>96.386833190917997</v>
      </c>
      <c r="AY25">
        <v>95.876602172851605</v>
      </c>
      <c r="AZ25">
        <v>93.662353515625</v>
      </c>
      <c r="BA25">
        <v>90.378227233886705</v>
      </c>
      <c r="BB25">
        <v>92.593673706054702</v>
      </c>
      <c r="BC25">
        <v>94.776226117580606</v>
      </c>
      <c r="BJ25">
        <v>105.128820425409</v>
      </c>
      <c r="BK25">
        <v>107.18995771035</v>
      </c>
      <c r="BM25">
        <v>110.066619873047</v>
      </c>
      <c r="BN25">
        <v>106.334849059692</v>
      </c>
      <c r="BO25">
        <v>107.802066750685</v>
      </c>
      <c r="BP25">
        <v>103.116421399751</v>
      </c>
      <c r="BQ25">
        <v>106.491310395865</v>
      </c>
    </row>
    <row r="26" spans="1:69" x14ac:dyDescent="0.3">
      <c r="A26" t="s">
        <v>67</v>
      </c>
      <c r="B26" t="s">
        <v>285</v>
      </c>
      <c r="C26" t="s">
        <v>544</v>
      </c>
      <c r="D26" t="s">
        <v>545</v>
      </c>
      <c r="AS26">
        <v>104.70467376709</v>
      </c>
      <c r="AT26">
        <v>105.33925628662099</v>
      </c>
      <c r="AU26">
        <v>109.64698791503901</v>
      </c>
      <c r="AV26">
        <v>111.69448852539099</v>
      </c>
      <c r="AW26">
        <v>111.75122833252</v>
      </c>
      <c r="AX26">
        <v>110.92043304443401</v>
      </c>
      <c r="AY26">
        <v>108.823188781738</v>
      </c>
      <c r="AZ26">
        <v>106.104972839355</v>
      </c>
      <c r="BA26">
        <v>104.15756225585901</v>
      </c>
      <c r="BB26">
        <v>102.06191253662099</v>
      </c>
      <c r="BC26">
        <v>101.40061950683599</v>
      </c>
      <c r="BD26">
        <v>101.12026977539099</v>
      </c>
      <c r="BE26">
        <v>100.363082885742</v>
      </c>
      <c r="BF26">
        <v>98.791183471679702</v>
      </c>
      <c r="BG26">
        <v>99.249610900878906</v>
      </c>
      <c r="BH26">
        <v>99.127220153808594</v>
      </c>
      <c r="BI26">
        <v>98.077163696289105</v>
      </c>
      <c r="BJ26">
        <v>97.594299316406193</v>
      </c>
      <c r="BK26">
        <v>96.792320251464801</v>
      </c>
      <c r="BL26">
        <v>96.439880371093807</v>
      </c>
      <c r="BM26">
        <v>96.543762207031193</v>
      </c>
      <c r="BN26">
        <v>95.611099243164105</v>
      </c>
      <c r="BO26">
        <v>95.888519287109403</v>
      </c>
      <c r="BP26">
        <v>95.4232177734375</v>
      </c>
    </row>
    <row r="27" spans="1:69" x14ac:dyDescent="0.3">
      <c r="A27" t="s">
        <v>52</v>
      </c>
      <c r="B27" t="s">
        <v>270</v>
      </c>
      <c r="C27" t="s">
        <v>544</v>
      </c>
      <c r="D27" t="s">
        <v>545</v>
      </c>
      <c r="P27">
        <v>96.471199035644503</v>
      </c>
      <c r="Q27">
        <v>96.210739135742202</v>
      </c>
      <c r="R27">
        <v>96.366920471191406</v>
      </c>
      <c r="S27">
        <v>97.833290100097699</v>
      </c>
      <c r="T27">
        <v>102.870979309082</v>
      </c>
      <c r="U27">
        <v>104.938468933105</v>
      </c>
      <c r="V27">
        <v>106.839073181152</v>
      </c>
      <c r="W27">
        <v>107.33798217773401</v>
      </c>
      <c r="X27">
        <v>108.09130859375</v>
      </c>
      <c r="Y27">
        <v>105.537971496582</v>
      </c>
      <c r="Z27">
        <v>99.417259216308594</v>
      </c>
      <c r="AA27">
        <v>96.484909057617202</v>
      </c>
      <c r="AB27">
        <v>95.409721374511705</v>
      </c>
      <c r="AC27">
        <v>99.904899597167997</v>
      </c>
      <c r="AD27">
        <v>102.244003295898</v>
      </c>
      <c r="AE27">
        <v>104.475708007812</v>
      </c>
      <c r="AF27">
        <v>105.052543640137</v>
      </c>
      <c r="AG27">
        <v>106.12534332275401</v>
      </c>
      <c r="AH27">
        <v>106.07623291015599</v>
      </c>
      <c r="AI27">
        <v>101.89785003662099</v>
      </c>
      <c r="AJ27">
        <v>99.724472045898395</v>
      </c>
      <c r="AK27">
        <v>93.733222961425795</v>
      </c>
      <c r="AL27">
        <v>93.233917236328097</v>
      </c>
      <c r="AM27">
        <v>93.227996826171903</v>
      </c>
      <c r="AN27">
        <v>94.865173339843807</v>
      </c>
      <c r="AO27">
        <v>95.098602294921903</v>
      </c>
      <c r="AP27">
        <v>95.90966796875</v>
      </c>
      <c r="AQ27">
        <v>97.351226806640597</v>
      </c>
      <c r="AR27">
        <v>99.0767822265625</v>
      </c>
      <c r="AS27">
        <v>98.877891540527301</v>
      </c>
      <c r="AT27">
        <v>98.286941528320298</v>
      </c>
      <c r="AU27">
        <v>96.798347473144503</v>
      </c>
      <c r="AV27">
        <v>95.426048278808594</v>
      </c>
      <c r="AW27">
        <v>95.149787902832003</v>
      </c>
      <c r="AX27">
        <v>95.147750854492202</v>
      </c>
      <c r="AY27">
        <v>101.91745758056599</v>
      </c>
      <c r="BD27">
        <v>96.119594189722505</v>
      </c>
      <c r="BE27">
        <v>101.803222781141</v>
      </c>
      <c r="BF27">
        <v>107.464276011953</v>
      </c>
      <c r="BG27">
        <v>104.369512763844</v>
      </c>
      <c r="BH27">
        <v>100.23701547132499</v>
      </c>
      <c r="BI27">
        <v>99.896859136486796</v>
      </c>
      <c r="BJ27">
        <v>98.736175549689094</v>
      </c>
      <c r="BK27">
        <v>96.838615159225895</v>
      </c>
      <c r="BL27">
        <v>96.775413791074399</v>
      </c>
      <c r="BO27">
        <v>96.992729117348702</v>
      </c>
      <c r="BP27">
        <v>93.899895308042105</v>
      </c>
      <c r="BQ27">
        <v>96.875247524752496</v>
      </c>
    </row>
    <row r="28" spans="1:69" x14ac:dyDescent="0.3">
      <c r="A28" t="s">
        <v>51</v>
      </c>
      <c r="B28" t="s">
        <v>269</v>
      </c>
      <c r="C28" t="s">
        <v>544</v>
      </c>
      <c r="D28" t="s">
        <v>545</v>
      </c>
      <c r="P28">
        <v>105.070121765137</v>
      </c>
      <c r="Q28">
        <v>101.313102722168</v>
      </c>
      <c r="R28">
        <v>94.708221435546903</v>
      </c>
      <c r="S28">
        <v>93.848129272460895</v>
      </c>
      <c r="T28">
        <v>93.325691223144503</v>
      </c>
      <c r="U28">
        <v>92.599517822265597</v>
      </c>
      <c r="V28">
        <v>93.005912780761705</v>
      </c>
      <c r="W28">
        <v>94.344856262207003</v>
      </c>
      <c r="X28">
        <v>94.476631164550795</v>
      </c>
      <c r="Y28">
        <v>94.725570678710895</v>
      </c>
      <c r="Z28">
        <v>99.101112365722699</v>
      </c>
      <c r="AA28">
        <v>100.076538085938</v>
      </c>
      <c r="AB28">
        <v>101.65251159668</v>
      </c>
      <c r="AC28">
        <v>96.566322326660199</v>
      </c>
      <c r="AD28">
        <v>105.399002075195</v>
      </c>
      <c r="AE28">
        <v>106.31797027587901</v>
      </c>
      <c r="AI28">
        <v>107.14541625976599</v>
      </c>
      <c r="AJ28">
        <v>106.292236328125</v>
      </c>
      <c r="AK28">
        <v>106.65004730224599</v>
      </c>
      <c r="AL28">
        <v>106.74787139892599</v>
      </c>
      <c r="AM28">
        <v>102.99951171875</v>
      </c>
      <c r="AN28">
        <v>100.293251037598</v>
      </c>
      <c r="AO28">
        <v>101.442947387695</v>
      </c>
      <c r="AP28">
        <v>96.495719909667997</v>
      </c>
      <c r="AQ28">
        <v>94.310676574707003</v>
      </c>
      <c r="AR28">
        <v>91.075759887695298</v>
      </c>
      <c r="AU28">
        <v>89.142066955566406</v>
      </c>
      <c r="AW28">
        <v>96.137962341308594</v>
      </c>
      <c r="AX28">
        <v>101.07485961914099</v>
      </c>
      <c r="AY28">
        <v>100.136596679688</v>
      </c>
      <c r="AZ28">
        <v>105.79987335205099</v>
      </c>
      <c r="BA28">
        <v>107.281616210938</v>
      </c>
      <c r="BB28">
        <v>103.59838104248</v>
      </c>
      <c r="BC28">
        <v>102.482355070278</v>
      </c>
      <c r="BD28">
        <v>110.135749348524</v>
      </c>
      <c r="BE28">
        <v>103.677382284453</v>
      </c>
      <c r="BF28">
        <v>94.640444377721096</v>
      </c>
      <c r="BG28">
        <v>94.388210777016994</v>
      </c>
      <c r="BH28">
        <v>96.260664901441601</v>
      </c>
      <c r="BI28">
        <v>90.411726538075897</v>
      </c>
      <c r="BK28">
        <v>88.550076532909102</v>
      </c>
      <c r="BL28">
        <v>91.937545653761902</v>
      </c>
      <c r="BN28">
        <v>80.523712158203097</v>
      </c>
      <c r="BP28">
        <v>78.393193435566303</v>
      </c>
      <c r="BQ28">
        <v>92.856648199445999</v>
      </c>
    </row>
    <row r="29" spans="1:69" x14ac:dyDescent="0.3">
      <c r="A29" t="s">
        <v>62</v>
      </c>
      <c r="B29" t="s">
        <v>280</v>
      </c>
      <c r="C29" t="s">
        <v>544</v>
      </c>
      <c r="D29" t="s">
        <v>545</v>
      </c>
      <c r="AZ29">
        <v>108.79678344726599</v>
      </c>
      <c r="BA29">
        <v>106.622398376465</v>
      </c>
      <c r="BB29">
        <v>108.094970703125</v>
      </c>
      <c r="BC29">
        <v>88.707077026367202</v>
      </c>
      <c r="BD29">
        <v>89.098541259765597</v>
      </c>
      <c r="BE29">
        <v>89.209419250488295</v>
      </c>
      <c r="BF29">
        <v>89.486961364746094</v>
      </c>
      <c r="BG29">
        <v>91.224441528320298</v>
      </c>
      <c r="BH29">
        <v>94.695442199707003</v>
      </c>
      <c r="BI29">
        <v>96.138633728027301</v>
      </c>
      <c r="BJ29">
        <v>98.243598937988295</v>
      </c>
      <c r="BK29">
        <v>99.716583251953097</v>
      </c>
      <c r="BL29">
        <v>100.92971038818401</v>
      </c>
      <c r="BM29">
        <v>100.26393127441401</v>
      </c>
      <c r="BN29">
        <v>101.168617248535</v>
      </c>
      <c r="BO29">
        <v>101.60450744628901</v>
      </c>
      <c r="BP29">
        <v>101.194877624512</v>
      </c>
    </row>
    <row r="30" spans="1:69" x14ac:dyDescent="0.3">
      <c r="A30" t="s">
        <v>55</v>
      </c>
      <c r="B30" t="s">
        <v>273</v>
      </c>
      <c r="C30" t="s">
        <v>544</v>
      </c>
      <c r="D30" t="s">
        <v>545</v>
      </c>
      <c r="P30">
        <v>100.96623992919901</v>
      </c>
      <c r="Q30">
        <v>100.888679504395</v>
      </c>
      <c r="R30">
        <v>101.292121887207</v>
      </c>
      <c r="S30">
        <v>100.584907531738</v>
      </c>
      <c r="T30">
        <v>100.611129760742</v>
      </c>
      <c r="U30">
        <v>100.18431091308599</v>
      </c>
      <c r="V30">
        <v>100.200073242188</v>
      </c>
      <c r="W30">
        <v>99.5701904296875</v>
      </c>
      <c r="X30">
        <v>99.868972778320298</v>
      </c>
      <c r="Y30">
        <v>101.33921051025401</v>
      </c>
      <c r="Z30">
        <v>103.46784210205099</v>
      </c>
      <c r="AA30">
        <v>104.61338043212901</v>
      </c>
      <c r="AB30">
        <v>105.933387756348</v>
      </c>
      <c r="AC30">
        <v>107.18002319335901</v>
      </c>
      <c r="AD30">
        <v>108.239418029785</v>
      </c>
      <c r="AE30">
        <v>108.55483245849599</v>
      </c>
      <c r="AF30">
        <v>94.073471069335895</v>
      </c>
      <c r="AG30">
        <v>94.191383361816406</v>
      </c>
      <c r="AH30">
        <v>93.620559692382798</v>
      </c>
      <c r="AI30">
        <v>92.722763061523395</v>
      </c>
      <c r="AJ30">
        <v>94.512931823730497</v>
      </c>
      <c r="AK30">
        <v>93.857696533203097</v>
      </c>
      <c r="AL30">
        <v>94.065902709960895</v>
      </c>
      <c r="AM30">
        <v>95.1763916015625</v>
      </c>
      <c r="AN30">
        <v>95.750007629394503</v>
      </c>
      <c r="AO30">
        <v>96.64990234375</v>
      </c>
      <c r="AP30">
        <v>99.767417907714801</v>
      </c>
      <c r="AQ30">
        <v>103.214653015137</v>
      </c>
      <c r="AR30">
        <v>115.26725769043</v>
      </c>
      <c r="AS30">
        <v>117.421142578125</v>
      </c>
      <c r="AT30">
        <v>117.492881774902</v>
      </c>
      <c r="AU30">
        <v>114.62126159668</v>
      </c>
      <c r="AV30">
        <v>105.36563110351599</v>
      </c>
      <c r="AW30">
        <v>103.979820251465</v>
      </c>
      <c r="AX30">
        <v>102.126327514648</v>
      </c>
      <c r="AY30">
        <v>101.282920837402</v>
      </c>
      <c r="AZ30">
        <v>99.837333679199205</v>
      </c>
      <c r="BA30">
        <v>99.810188293457003</v>
      </c>
      <c r="BB30">
        <v>100.756843566895</v>
      </c>
      <c r="BC30">
        <v>100.778805231093</v>
      </c>
      <c r="BD30">
        <v>100.92739980031401</v>
      </c>
      <c r="BE30">
        <v>100.103580941107</v>
      </c>
      <c r="BF30">
        <v>99.402412709770502</v>
      </c>
      <c r="BG30">
        <v>98.819629784451806</v>
      </c>
      <c r="BH30">
        <v>98.472478406329898</v>
      </c>
      <c r="BI30">
        <v>99.416560102301801</v>
      </c>
      <c r="BJ30">
        <v>98.991135282884599</v>
      </c>
      <c r="BK30">
        <v>98.226083122644795</v>
      </c>
      <c r="BL30">
        <v>97.049427305071902</v>
      </c>
      <c r="BM30">
        <v>95.525014830927404</v>
      </c>
      <c r="BN30">
        <v>95.526643747314097</v>
      </c>
      <c r="BO30">
        <v>95.430714929186394</v>
      </c>
      <c r="BP30">
        <v>95.218363103576806</v>
      </c>
      <c r="BQ30">
        <v>96.822403007302398</v>
      </c>
    </row>
    <row r="31" spans="1:69" x14ac:dyDescent="0.3">
      <c r="A31" t="s">
        <v>57</v>
      </c>
      <c r="B31" t="s">
        <v>275</v>
      </c>
      <c r="C31" t="s">
        <v>544</v>
      </c>
      <c r="D31" t="s">
        <v>545</v>
      </c>
      <c r="P31">
        <v>104.910766601562</v>
      </c>
      <c r="Q31">
        <v>103.321426391602</v>
      </c>
      <c r="R31">
        <v>104.141220092773</v>
      </c>
      <c r="S31">
        <v>105.60198974609401</v>
      </c>
      <c r="U31">
        <v>109.347061157227</v>
      </c>
      <c r="V31">
        <v>114.563270568848</v>
      </c>
      <c r="W31">
        <v>118.849502563477</v>
      </c>
      <c r="Y31">
        <v>124.71534729003901</v>
      </c>
      <c r="Z31">
        <v>122.21395874023401</v>
      </c>
      <c r="AA31">
        <v>119.090530395508</v>
      </c>
      <c r="AB31">
        <v>115.422729492188</v>
      </c>
      <c r="AC31">
        <v>116.013778686523</v>
      </c>
      <c r="AD31">
        <v>112.648109436035</v>
      </c>
      <c r="AE31">
        <v>106.149063110352</v>
      </c>
      <c r="AF31">
        <v>107.269973754883</v>
      </c>
      <c r="AG31">
        <v>107.73899841308599</v>
      </c>
      <c r="AH31">
        <v>108.36321258544901</v>
      </c>
      <c r="AI31">
        <v>111.60569000244099</v>
      </c>
      <c r="AJ31">
        <v>114.843612670898</v>
      </c>
      <c r="AK31">
        <v>115.69354248046901</v>
      </c>
      <c r="AL31">
        <v>117.58709716796901</v>
      </c>
      <c r="AM31">
        <v>119.996452331543</v>
      </c>
      <c r="AN31">
        <v>120.45070648193401</v>
      </c>
      <c r="AO31">
        <v>121.862091064453</v>
      </c>
      <c r="AP31">
        <v>118.85588836669901</v>
      </c>
      <c r="AR31">
        <v>116.884490966797</v>
      </c>
      <c r="AS31">
        <v>117.03468322753901</v>
      </c>
      <c r="AT31">
        <v>117.08415222168</v>
      </c>
      <c r="AU31">
        <v>113.59684753418</v>
      </c>
      <c r="AV31">
        <v>118.81105804443401</v>
      </c>
      <c r="AW31">
        <v>120.602569580078</v>
      </c>
      <c r="AX31">
        <v>120.29734802246099</v>
      </c>
      <c r="AY31">
        <v>119.86638641357401</v>
      </c>
      <c r="AZ31">
        <v>117.77333831787099</v>
      </c>
      <c r="BA31">
        <v>115.30393218994099</v>
      </c>
      <c r="BB31">
        <v>114.54534149169901</v>
      </c>
      <c r="BC31">
        <v>112.946476456076</v>
      </c>
      <c r="BD31">
        <v>112.275924178746</v>
      </c>
      <c r="BE31">
        <v>115.222578079659</v>
      </c>
      <c r="BF31">
        <v>113.524076873246</v>
      </c>
      <c r="BG31">
        <v>112.82886168272999</v>
      </c>
      <c r="BH31">
        <v>113.60254815978401</v>
      </c>
      <c r="BI31">
        <v>116.084024666164</v>
      </c>
      <c r="BJ31">
        <v>115.629980470942</v>
      </c>
      <c r="BK31">
        <v>114.90527173544</v>
      </c>
      <c r="BL31">
        <v>114.458351316357</v>
      </c>
      <c r="BM31">
        <v>112.251430128031</v>
      </c>
      <c r="BN31">
        <v>107.337270073984</v>
      </c>
      <c r="BO31">
        <v>101.53137311638901</v>
      </c>
      <c r="BP31">
        <v>97.787446161918695</v>
      </c>
      <c r="BQ31">
        <v>96.481924594192606</v>
      </c>
    </row>
    <row r="32" spans="1:69" x14ac:dyDescent="0.3">
      <c r="A32" t="s">
        <v>59</v>
      </c>
      <c r="B32" t="s">
        <v>277</v>
      </c>
      <c r="C32" t="s">
        <v>544</v>
      </c>
      <c r="D32" t="s">
        <v>545</v>
      </c>
      <c r="P32">
        <v>105.439659118652</v>
      </c>
      <c r="Q32">
        <v>103.637336730957</v>
      </c>
      <c r="R32">
        <v>100.996589660645</v>
      </c>
      <c r="S32">
        <v>100.57391357421901</v>
      </c>
      <c r="T32">
        <v>99.697410583496094</v>
      </c>
      <c r="U32">
        <v>101.642280578613</v>
      </c>
      <c r="V32">
        <v>103.263076782227</v>
      </c>
      <c r="W32">
        <v>104.76345062255901</v>
      </c>
      <c r="X32">
        <v>99.300346374511705</v>
      </c>
      <c r="Y32">
        <v>101.768112182617</v>
      </c>
      <c r="Z32">
        <v>102.310340881348</v>
      </c>
      <c r="AA32">
        <v>103.01278686523401</v>
      </c>
      <c r="AB32">
        <v>102.807083129883</v>
      </c>
      <c r="AC32">
        <v>101.11537933349599</v>
      </c>
      <c r="AD32">
        <v>101.1240234375</v>
      </c>
      <c r="AN32">
        <v>107.69509124755901</v>
      </c>
      <c r="AP32">
        <v>120.33135986328099</v>
      </c>
      <c r="AT32">
        <v>103.549797058105</v>
      </c>
      <c r="AU32">
        <v>102.935012817383</v>
      </c>
      <c r="AV32">
        <v>103.237411499023</v>
      </c>
      <c r="AW32">
        <v>102.27513885498</v>
      </c>
      <c r="AX32">
        <v>100.932991027832</v>
      </c>
      <c r="AY32">
        <v>99.383903503417997</v>
      </c>
      <c r="BC32">
        <v>106.17137145996099</v>
      </c>
      <c r="BD32">
        <v>103.870971679688</v>
      </c>
      <c r="BE32">
        <v>101.24880218505901</v>
      </c>
      <c r="BF32">
        <v>99.565223693847699</v>
      </c>
      <c r="BG32">
        <v>100.56414031982401</v>
      </c>
      <c r="BH32">
        <v>102.67392730712901</v>
      </c>
      <c r="BP32">
        <v>92.851249694824205</v>
      </c>
    </row>
    <row r="33" spans="1:69" x14ac:dyDescent="0.3">
      <c r="A33" t="s">
        <v>61</v>
      </c>
      <c r="B33" t="s">
        <v>279</v>
      </c>
      <c r="C33" t="s">
        <v>544</v>
      </c>
      <c r="D33" t="s">
        <v>545</v>
      </c>
      <c r="AS33">
        <v>119.13207244873</v>
      </c>
      <c r="AT33">
        <v>118.06078338623</v>
      </c>
      <c r="AU33">
        <v>118.54347229003901</v>
      </c>
      <c r="AV33">
        <v>116.677192687988</v>
      </c>
      <c r="AW33">
        <v>115.955810546875</v>
      </c>
      <c r="AX33">
        <v>115.19937133789099</v>
      </c>
      <c r="AY33">
        <v>113.561637878418</v>
      </c>
      <c r="AZ33">
        <v>112.76772308349599</v>
      </c>
      <c r="BA33">
        <v>111.650062561035</v>
      </c>
      <c r="BB33">
        <v>108.031242370605</v>
      </c>
      <c r="BC33">
        <v>104.396370229571</v>
      </c>
      <c r="BD33">
        <v>100.921849072087</v>
      </c>
      <c r="BE33">
        <v>98.312925307637101</v>
      </c>
      <c r="BF33">
        <v>96.890473631423305</v>
      </c>
      <c r="BG33">
        <v>95.4654700824142</v>
      </c>
      <c r="BH33">
        <v>95.096193986575699</v>
      </c>
      <c r="BI33">
        <v>95.538765926762693</v>
      </c>
      <c r="BJ33">
        <v>96.447504381047196</v>
      </c>
      <c r="BK33">
        <v>97.122722190494997</v>
      </c>
      <c r="BL33">
        <v>97.671474159137503</v>
      </c>
      <c r="BM33">
        <v>98.236948607962503</v>
      </c>
      <c r="BN33">
        <v>98.469422839840902</v>
      </c>
      <c r="BO33">
        <v>99.196087887771498</v>
      </c>
      <c r="BP33">
        <v>98.572689462578595</v>
      </c>
    </row>
    <row r="34" spans="1:69" x14ac:dyDescent="0.3">
      <c r="A34" t="s">
        <v>64</v>
      </c>
      <c r="B34" t="s">
        <v>282</v>
      </c>
      <c r="C34" t="s">
        <v>544</v>
      </c>
      <c r="D34" t="s">
        <v>545</v>
      </c>
      <c r="BE34">
        <v>104.7822265625</v>
      </c>
      <c r="BF34">
        <v>109.94513702392599</v>
      </c>
      <c r="BG34">
        <v>110.31646728515599</v>
      </c>
      <c r="BH34">
        <v>109.15219116210901</v>
      </c>
      <c r="BI34">
        <v>108.757843017578</v>
      </c>
      <c r="BJ34">
        <v>109.80850982666</v>
      </c>
      <c r="BK34">
        <v>108.623291015625</v>
      </c>
      <c r="BL34">
        <v>107.40747833252</v>
      </c>
      <c r="BM34">
        <v>105.49819946289099</v>
      </c>
      <c r="BN34">
        <v>103.4716796875</v>
      </c>
      <c r="BO34">
        <v>103.970321655273</v>
      </c>
    </row>
    <row r="35" spans="1:69" x14ac:dyDescent="0.3">
      <c r="A35" t="s">
        <v>54</v>
      </c>
      <c r="B35" t="s">
        <v>272</v>
      </c>
      <c r="C35" t="s">
        <v>544</v>
      </c>
      <c r="D35" t="s">
        <v>545</v>
      </c>
      <c r="P35">
        <v>104.102058410645</v>
      </c>
      <c r="Q35">
        <v>101.111289978027</v>
      </c>
      <c r="R35">
        <v>99.714813232421903</v>
      </c>
      <c r="S35">
        <v>94.144912719726605</v>
      </c>
      <c r="T35">
        <v>96.568702697753906</v>
      </c>
      <c r="U35">
        <v>96.202682495117202</v>
      </c>
      <c r="V35">
        <v>102.053749084473</v>
      </c>
      <c r="W35">
        <v>106.07250213623</v>
      </c>
      <c r="X35">
        <v>108.549156188965</v>
      </c>
      <c r="Y35">
        <v>101.67295074462901</v>
      </c>
      <c r="Z35">
        <v>104.034866333008</v>
      </c>
      <c r="AA35">
        <v>105.29779052734401</v>
      </c>
      <c r="AB35">
        <v>107.585639953613</v>
      </c>
      <c r="AC35">
        <v>114.92153930664099</v>
      </c>
      <c r="AD35">
        <v>115.78562927246099</v>
      </c>
      <c r="AH35">
        <v>117.504066467285</v>
      </c>
      <c r="AI35">
        <v>112.13526916503901</v>
      </c>
      <c r="AK35">
        <v>106.883140563965</v>
      </c>
      <c r="AR35">
        <v>103.175331115723</v>
      </c>
      <c r="AS35">
        <v>102.616241455078</v>
      </c>
      <c r="AT35">
        <v>104.42259979248</v>
      </c>
      <c r="AU35">
        <v>103.54534912109401</v>
      </c>
      <c r="AV35">
        <v>104.48760986328099</v>
      </c>
      <c r="AW35">
        <v>102.36578369140599</v>
      </c>
      <c r="AX35">
        <v>101.593612670898</v>
      </c>
      <c r="AY35">
        <v>101.276039123535</v>
      </c>
      <c r="AZ35">
        <v>100.21298980712901</v>
      </c>
      <c r="BA35">
        <v>100.470497131348</v>
      </c>
      <c r="BB35">
        <v>99.802391052246094</v>
      </c>
      <c r="BC35">
        <v>100.02648655807199</v>
      </c>
      <c r="BD35">
        <v>100.60787556429599</v>
      </c>
      <c r="BG35">
        <v>96.433451762776699</v>
      </c>
      <c r="BH35">
        <v>95.405183427632807</v>
      </c>
      <c r="BI35">
        <v>95.319325026437994</v>
      </c>
      <c r="BJ35">
        <v>94.366001574001203</v>
      </c>
      <c r="BK35">
        <v>94.472220924255893</v>
      </c>
      <c r="BL35">
        <v>94.756144027433805</v>
      </c>
      <c r="BM35">
        <v>94.513482980500001</v>
      </c>
      <c r="BN35">
        <v>92.770903261359607</v>
      </c>
      <c r="BO35">
        <v>90.187531677648295</v>
      </c>
      <c r="BP35">
        <v>88.007568783880501</v>
      </c>
      <c r="BQ35">
        <v>83.937024079028603</v>
      </c>
    </row>
    <row r="36" spans="1:69" x14ac:dyDescent="0.3">
      <c r="A36" t="s">
        <v>66</v>
      </c>
      <c r="B36" t="s">
        <v>284</v>
      </c>
      <c r="C36" t="s">
        <v>544</v>
      </c>
      <c r="D36" t="s">
        <v>545</v>
      </c>
      <c r="O36">
        <v>121.098251342773</v>
      </c>
      <c r="P36">
        <v>129.26426696777301</v>
      </c>
      <c r="Q36">
        <v>131.94438171386699</v>
      </c>
      <c r="R36">
        <v>129.272384643555</v>
      </c>
      <c r="S36">
        <v>126.885940551758</v>
      </c>
      <c r="T36">
        <v>122.56371307373</v>
      </c>
      <c r="U36">
        <v>123.975387573242</v>
      </c>
      <c r="V36">
        <v>127.770721435547</v>
      </c>
      <c r="W36">
        <v>128.99235534668</v>
      </c>
      <c r="X36">
        <v>114.10817718505901</v>
      </c>
      <c r="Y36">
        <v>113.638229370117</v>
      </c>
      <c r="Z36">
        <v>114.92163848877</v>
      </c>
      <c r="AA36">
        <v>111.80435180664099</v>
      </c>
      <c r="AB36">
        <v>113.70133972168</v>
      </c>
      <c r="AC36">
        <v>117.110153198242</v>
      </c>
      <c r="AD36">
        <v>117.044883728027</v>
      </c>
      <c r="AE36">
        <v>122.95288848877</v>
      </c>
      <c r="AF36">
        <v>121.58925628662099</v>
      </c>
      <c r="AG36">
        <v>123.298210144043</v>
      </c>
      <c r="AH36">
        <v>125.86277770996099</v>
      </c>
      <c r="AJ36">
        <v>116.419471740723</v>
      </c>
      <c r="AK36">
        <v>114.44106292724599</v>
      </c>
      <c r="AL36">
        <v>115.30525970459</v>
      </c>
      <c r="AM36">
        <v>115.403518676758</v>
      </c>
      <c r="AN36">
        <v>113.287490844727</v>
      </c>
      <c r="AO36">
        <v>111.854377746582</v>
      </c>
      <c r="AP36">
        <v>110.213897705078</v>
      </c>
      <c r="AQ36">
        <v>113.10861968994099</v>
      </c>
      <c r="AR36">
        <v>113.262153625488</v>
      </c>
      <c r="AS36">
        <v>112.037879943848</v>
      </c>
      <c r="AT36">
        <v>110.13542175293</v>
      </c>
      <c r="AU36">
        <v>112.115310668945</v>
      </c>
      <c r="AV36">
        <v>116.92626953125</v>
      </c>
      <c r="AW36">
        <v>119.105339050293</v>
      </c>
      <c r="AX36">
        <v>119.844757080078</v>
      </c>
      <c r="AY36">
        <v>121.505966186523</v>
      </c>
      <c r="AZ36">
        <v>122.321258544922</v>
      </c>
      <c r="BA36">
        <v>116.783126831055</v>
      </c>
      <c r="BB36">
        <v>112.532432556152</v>
      </c>
      <c r="BC36">
        <v>108.70580714953</v>
      </c>
      <c r="BD36">
        <v>104.830894583323</v>
      </c>
      <c r="BE36">
        <v>103.310538143682</v>
      </c>
      <c r="BF36">
        <v>103.89514218009499</v>
      </c>
      <c r="BG36">
        <v>103.84770957629701</v>
      </c>
      <c r="BH36">
        <v>104.18579460463199</v>
      </c>
      <c r="BI36">
        <v>105.726377387079</v>
      </c>
      <c r="BJ36">
        <v>104.56705385427701</v>
      </c>
      <c r="BK36">
        <v>104.179996298549</v>
      </c>
      <c r="BL36">
        <v>103.033008586959</v>
      </c>
      <c r="BM36">
        <v>102.70963396627199</v>
      </c>
      <c r="BN36">
        <v>101.387926832397</v>
      </c>
      <c r="BO36">
        <v>99.134912983915996</v>
      </c>
      <c r="BP36">
        <v>96.929218871619796</v>
      </c>
    </row>
    <row r="37" spans="1:69" x14ac:dyDescent="0.3">
      <c r="A37" t="s">
        <v>60</v>
      </c>
      <c r="B37" t="s">
        <v>278</v>
      </c>
      <c r="C37" t="s">
        <v>544</v>
      </c>
      <c r="D37" t="s">
        <v>545</v>
      </c>
      <c r="O37">
        <v>19.813240051269499</v>
      </c>
      <c r="P37">
        <v>19.7245693206787</v>
      </c>
      <c r="Q37">
        <v>21.1250705718994</v>
      </c>
      <c r="S37">
        <v>24.1981201171875</v>
      </c>
      <c r="U37">
        <v>29.116600036621101</v>
      </c>
      <c r="V37">
        <v>31.6090908050537</v>
      </c>
      <c r="W37">
        <v>31.6579399108887</v>
      </c>
      <c r="X37">
        <v>35.208709716796903</v>
      </c>
      <c r="Y37">
        <v>44.750938415527301</v>
      </c>
      <c r="Z37">
        <v>49.719539642333999</v>
      </c>
      <c r="AA37">
        <v>51.968040466308601</v>
      </c>
      <c r="AB37">
        <v>55.396808624267599</v>
      </c>
      <c r="AC37">
        <v>57.145988464355497</v>
      </c>
      <c r="AD37">
        <v>56.5057182312012</v>
      </c>
      <c r="AE37">
        <v>51.898811340332003</v>
      </c>
      <c r="AF37">
        <v>52.609828948974602</v>
      </c>
      <c r="AG37">
        <v>54.161979675292997</v>
      </c>
      <c r="AJ37">
        <v>46.436698913574197</v>
      </c>
      <c r="AK37">
        <v>45.327579498291001</v>
      </c>
      <c r="AL37">
        <v>54.5066108703613</v>
      </c>
      <c r="AM37">
        <v>57.220531463622997</v>
      </c>
      <c r="AN37">
        <v>62.322990417480497</v>
      </c>
      <c r="AO37">
        <v>68.279449462890597</v>
      </c>
      <c r="AP37">
        <v>71.668807983398395</v>
      </c>
      <c r="AQ37">
        <v>73.822731018066406</v>
      </c>
      <c r="AR37">
        <v>75.681221008300795</v>
      </c>
      <c r="AS37">
        <v>77.863182067871094</v>
      </c>
      <c r="AT37">
        <v>79.749008178710895</v>
      </c>
      <c r="AU37">
        <v>81.868843078613295</v>
      </c>
      <c r="AV37">
        <v>84.878433227539105</v>
      </c>
      <c r="AW37">
        <v>88.835639953613295</v>
      </c>
      <c r="AX37">
        <v>92.443397521972699</v>
      </c>
      <c r="AY37">
        <v>97.061340332031193</v>
      </c>
      <c r="AZ37">
        <v>101.10328674316401</v>
      </c>
      <c r="BA37">
        <v>104.53305053710901</v>
      </c>
      <c r="BB37">
        <v>109.009880065918</v>
      </c>
      <c r="BC37">
        <v>111.97585296630901</v>
      </c>
      <c r="BD37">
        <v>113.566772460938</v>
      </c>
      <c r="BE37">
        <v>113.019607543945</v>
      </c>
      <c r="BF37">
        <v>106.84124755859401</v>
      </c>
      <c r="BG37">
        <v>104.71958160400401</v>
      </c>
      <c r="BH37">
        <v>103.099495619907</v>
      </c>
      <c r="BI37">
        <v>101.324020385742</v>
      </c>
      <c r="BJ37">
        <v>99.7447717881834</v>
      </c>
      <c r="BK37">
        <v>99.306025426389695</v>
      </c>
      <c r="BL37">
        <v>97.989926908949002</v>
      </c>
      <c r="BM37">
        <v>103.826009511759</v>
      </c>
      <c r="BN37">
        <v>105.461046747645</v>
      </c>
      <c r="BO37">
        <v>105.26615140534101</v>
      </c>
      <c r="BP37">
        <v>106.687397950258</v>
      </c>
      <c r="BQ37">
        <v>114.881123575514</v>
      </c>
    </row>
    <row r="38" spans="1:69" x14ac:dyDescent="0.3">
      <c r="A38" t="s">
        <v>63</v>
      </c>
      <c r="B38" t="s">
        <v>281</v>
      </c>
      <c r="C38" t="s">
        <v>544</v>
      </c>
      <c r="D38" t="s">
        <v>545</v>
      </c>
      <c r="O38">
        <v>68.610298156738295</v>
      </c>
      <c r="P38">
        <v>64.043167114257798</v>
      </c>
      <c r="Q38">
        <v>64.674583435058594</v>
      </c>
      <c r="R38">
        <v>70.551872253417997</v>
      </c>
      <c r="S38">
        <v>73.804100036621094</v>
      </c>
      <c r="T38">
        <v>79.891868591308594</v>
      </c>
      <c r="U38">
        <v>83.0855712890625</v>
      </c>
      <c r="V38">
        <v>87.399650573730497</v>
      </c>
      <c r="W38">
        <v>89.198699951171903</v>
      </c>
      <c r="X38">
        <v>91.663551330566406</v>
      </c>
      <c r="Y38">
        <v>96.254821777343807</v>
      </c>
      <c r="Z38">
        <v>100.530570983887</v>
      </c>
      <c r="AA38">
        <v>101.365516662598</v>
      </c>
      <c r="AB38">
        <v>103.165802001953</v>
      </c>
      <c r="AC38">
        <v>104.721061706543</v>
      </c>
      <c r="AD38">
        <v>107.175621032715</v>
      </c>
      <c r="AE38">
        <v>107.84739685058599</v>
      </c>
      <c r="AF38">
        <v>108.052841186523</v>
      </c>
      <c r="AG38">
        <v>108.386352539062</v>
      </c>
      <c r="AH38">
        <v>110.055061340332</v>
      </c>
      <c r="AI38">
        <v>109.42001342773401</v>
      </c>
      <c r="AJ38">
        <v>111.721710205078</v>
      </c>
      <c r="AK38">
        <v>109.231819152832</v>
      </c>
      <c r="AL38">
        <v>107.772499084473</v>
      </c>
      <c r="AM38">
        <v>107.288078308105</v>
      </c>
      <c r="AN38">
        <v>106.13369750976599</v>
      </c>
      <c r="AO38">
        <v>106.946533203125</v>
      </c>
      <c r="AP38">
        <v>107.549926757812</v>
      </c>
      <c r="AQ38">
        <v>106.83962249755901</v>
      </c>
      <c r="AR38">
        <v>107.01438140869099</v>
      </c>
      <c r="AS38">
        <v>107.46958160400401</v>
      </c>
      <c r="AT38">
        <v>108.973907470703</v>
      </c>
      <c r="AU38">
        <v>109.583213806152</v>
      </c>
      <c r="AV38">
        <v>110.27052307128901</v>
      </c>
      <c r="AW38">
        <v>110.61521148681599</v>
      </c>
      <c r="AX38">
        <v>111.46208190918</v>
      </c>
      <c r="AY38">
        <v>112.33056640625</v>
      </c>
      <c r="AZ38">
        <v>111.439659118652</v>
      </c>
      <c r="BA38">
        <v>110.97836303710901</v>
      </c>
      <c r="BB38">
        <v>111.213661193848</v>
      </c>
      <c r="BE38">
        <v>107.411979939614</v>
      </c>
      <c r="BF38">
        <v>105.315561116255</v>
      </c>
      <c r="BG38">
        <v>101.616607294624</v>
      </c>
      <c r="BH38">
        <v>101.62335205078099</v>
      </c>
      <c r="BN38">
        <v>104.619979858398</v>
      </c>
      <c r="BO38">
        <v>109.27325614686001</v>
      </c>
    </row>
    <row r="39" spans="1:69" x14ac:dyDescent="0.3">
      <c r="A39" t="s">
        <v>75</v>
      </c>
      <c r="B39" t="s">
        <v>293</v>
      </c>
      <c r="C39" t="s">
        <v>544</v>
      </c>
      <c r="D39" t="s">
        <v>545</v>
      </c>
      <c r="P39">
        <v>53.779510498046903</v>
      </c>
      <c r="Q39">
        <v>52.8709716796875</v>
      </c>
      <c r="R39">
        <v>56.128780364990199</v>
      </c>
      <c r="S39">
        <v>56.4139595031738</v>
      </c>
      <c r="T39">
        <v>58.968601226806598</v>
      </c>
      <c r="U39">
        <v>58.724998474121101</v>
      </c>
      <c r="V39">
        <v>61.303451538085902</v>
      </c>
      <c r="W39">
        <v>61.659820556640597</v>
      </c>
      <c r="X39">
        <v>61.695388793945298</v>
      </c>
      <c r="Y39">
        <v>62.1261596679688</v>
      </c>
      <c r="Z39">
        <v>62.955429077148402</v>
      </c>
      <c r="AA39">
        <v>66.819686889648395</v>
      </c>
      <c r="AB39">
        <v>70.024230957031193</v>
      </c>
      <c r="AC39">
        <v>75.164031982421903</v>
      </c>
      <c r="AD39">
        <v>78.857872009277301</v>
      </c>
      <c r="AE39">
        <v>78.170890808105497</v>
      </c>
      <c r="AF39">
        <v>67.702529907226605</v>
      </c>
      <c r="AG39">
        <v>68.614753723144503</v>
      </c>
      <c r="AH39">
        <v>68.738357543945298</v>
      </c>
      <c r="AI39">
        <v>71.357772827148395</v>
      </c>
      <c r="AJ39">
        <v>64.965141296386705</v>
      </c>
      <c r="AK39">
        <v>56.024818420410199</v>
      </c>
      <c r="AT39">
        <v>68.312767028808594</v>
      </c>
      <c r="AU39">
        <v>60.431148529052699</v>
      </c>
      <c r="AV39">
        <v>59.687179565429702</v>
      </c>
      <c r="AW39">
        <v>51.287059783935497</v>
      </c>
      <c r="AX39">
        <v>57.085090637207003</v>
      </c>
      <c r="AY39">
        <v>56.7010307312012</v>
      </c>
      <c r="AZ39">
        <v>65.553459167480497</v>
      </c>
      <c r="BA39">
        <v>75.850349426269503</v>
      </c>
      <c r="BB39">
        <v>77.429916381835895</v>
      </c>
      <c r="BC39">
        <v>81.278953552246094</v>
      </c>
      <c r="BD39">
        <v>81.350402832031193</v>
      </c>
      <c r="BE39">
        <v>81.931503295898395</v>
      </c>
      <c r="BI39">
        <v>96.812599182128906</v>
      </c>
    </row>
    <row r="40" spans="1:69" x14ac:dyDescent="0.3">
      <c r="A40" t="s">
        <v>73</v>
      </c>
      <c r="B40" t="s">
        <v>291</v>
      </c>
      <c r="C40" t="s">
        <v>544</v>
      </c>
      <c r="D40" t="s">
        <v>545</v>
      </c>
      <c r="AS40">
        <v>99.417762756347699</v>
      </c>
      <c r="AW40">
        <v>99.440742492675795</v>
      </c>
      <c r="AX40">
        <v>98.598060607910199</v>
      </c>
      <c r="AY40">
        <v>99.76953125</v>
      </c>
      <c r="AZ40">
        <v>99.541481018066406</v>
      </c>
      <c r="BA40">
        <v>98.608093261718807</v>
      </c>
      <c r="BB40">
        <v>99.607337951660199</v>
      </c>
      <c r="BC40">
        <v>99.134368896484403</v>
      </c>
      <c r="BD40">
        <v>98.562599182128906</v>
      </c>
      <c r="BE40">
        <v>99.490753173828097</v>
      </c>
      <c r="BF40">
        <v>99.386779785156193</v>
      </c>
      <c r="BG40">
        <v>99.525291442871094</v>
      </c>
      <c r="BH40">
        <v>99.860260009765597</v>
      </c>
      <c r="BI40">
        <v>98.550041198730497</v>
      </c>
      <c r="BJ40">
        <v>98.632240295410199</v>
      </c>
      <c r="BK40">
        <v>98.661781311035199</v>
      </c>
      <c r="BL40">
        <v>97.187553405761705</v>
      </c>
      <c r="BM40">
        <v>96.908973693847699</v>
      </c>
      <c r="BN40">
        <v>95.229621887207003</v>
      </c>
      <c r="BO40">
        <v>94.744979858398395</v>
      </c>
      <c r="BP40">
        <v>94.952339172363295</v>
      </c>
    </row>
    <row r="41" spans="1:69" x14ac:dyDescent="0.3">
      <c r="A41" t="s">
        <v>552</v>
      </c>
      <c r="B41" t="s">
        <v>553</v>
      </c>
      <c r="C41" t="s">
        <v>544</v>
      </c>
      <c r="D41" t="s">
        <v>545</v>
      </c>
      <c r="AR41">
        <v>105.809463500977</v>
      </c>
      <c r="AS41">
        <v>101.966423034668</v>
      </c>
      <c r="AT41">
        <v>102.447143554688</v>
      </c>
      <c r="AU41">
        <v>102.62233734130901</v>
      </c>
      <c r="AV41">
        <v>102.35455322265599</v>
      </c>
      <c r="AW41">
        <v>102.430068969727</v>
      </c>
      <c r="AX41">
        <v>101.76203155517599</v>
      </c>
      <c r="AY41">
        <v>101.20799255371099</v>
      </c>
      <c r="AZ41">
        <v>100.40537261962901</v>
      </c>
      <c r="BA41">
        <v>99.522758483886705</v>
      </c>
      <c r="BB41">
        <v>99.586280822753906</v>
      </c>
      <c r="BC41">
        <v>99.603477478027301</v>
      </c>
      <c r="BD41">
        <v>99.444282531738295</v>
      </c>
      <c r="BE41">
        <v>99.617431640625</v>
      </c>
      <c r="BF41">
        <v>98.521156311035199</v>
      </c>
      <c r="BG41">
        <v>97.752059936523395</v>
      </c>
      <c r="BH41">
        <v>96.900222778320298</v>
      </c>
      <c r="BI41">
        <v>96.173637390136705</v>
      </c>
      <c r="BJ41">
        <v>95.955978393554702</v>
      </c>
      <c r="BK41">
        <v>95.326232910156193</v>
      </c>
      <c r="BL41">
        <v>95.895370483398395</v>
      </c>
      <c r="BM41">
        <v>91.684463500976605</v>
      </c>
      <c r="BN41">
        <v>96.933639526367202</v>
      </c>
      <c r="BO41">
        <v>97.046539306640597</v>
      </c>
      <c r="BP41">
        <v>98.630661010742202</v>
      </c>
      <c r="BQ41">
        <v>98.630653381347699</v>
      </c>
    </row>
    <row r="42" spans="1:69" x14ac:dyDescent="0.3">
      <c r="A42" t="s">
        <v>224</v>
      </c>
      <c r="B42" t="s">
        <v>446</v>
      </c>
      <c r="C42" t="s">
        <v>544</v>
      </c>
      <c r="D42" t="s">
        <v>545</v>
      </c>
      <c r="AS42">
        <v>104.152786254883</v>
      </c>
      <c r="AT42">
        <v>103.606170654297</v>
      </c>
      <c r="AU42">
        <v>104.00148010253901</v>
      </c>
      <c r="AV42">
        <v>104.15753173828099</v>
      </c>
      <c r="AW42">
        <v>104.152870178223</v>
      </c>
      <c r="AX42">
        <v>103.91909790039099</v>
      </c>
      <c r="AY42">
        <v>104.123817443848</v>
      </c>
      <c r="AZ42">
        <v>103.956550598145</v>
      </c>
      <c r="BA42">
        <v>104.08766174316401</v>
      </c>
      <c r="BB42">
        <v>103.63484954834</v>
      </c>
      <c r="BC42">
        <v>103.392906188965</v>
      </c>
      <c r="BD42">
        <v>102.482177734375</v>
      </c>
      <c r="BE42">
        <v>102.13063812255901</v>
      </c>
      <c r="BF42">
        <v>102.43775939941401</v>
      </c>
      <c r="BG42">
        <v>102.470817565918</v>
      </c>
      <c r="BH42">
        <v>102.15592956543</v>
      </c>
      <c r="BI42">
        <v>101.90252685546901</v>
      </c>
      <c r="BJ42">
        <v>101.83332824707</v>
      </c>
      <c r="BK42">
        <v>101.837242126465</v>
      </c>
      <c r="BL42">
        <v>101.593048095703</v>
      </c>
      <c r="BM42">
        <v>101.73171234130901</v>
      </c>
      <c r="BN42">
        <v>101.478240966797</v>
      </c>
      <c r="BO42">
        <v>101.363067626953</v>
      </c>
      <c r="BP42">
        <v>102.282958984375</v>
      </c>
    </row>
    <row r="43" spans="1:69" x14ac:dyDescent="0.3">
      <c r="A43" t="s">
        <v>77</v>
      </c>
      <c r="B43" t="s">
        <v>295</v>
      </c>
      <c r="C43" t="s">
        <v>544</v>
      </c>
      <c r="D43" t="s">
        <v>545</v>
      </c>
    </row>
    <row r="44" spans="1:69" x14ac:dyDescent="0.3">
      <c r="A44" t="s">
        <v>78</v>
      </c>
      <c r="B44" t="s">
        <v>296</v>
      </c>
      <c r="C44" t="s">
        <v>544</v>
      </c>
      <c r="D44" t="s">
        <v>545</v>
      </c>
      <c r="AS44">
        <v>101.363563537598</v>
      </c>
      <c r="AU44">
        <v>101.286972045898</v>
      </c>
      <c r="AV44">
        <v>101.06179046630901</v>
      </c>
      <c r="AW44">
        <v>105.627876281738</v>
      </c>
      <c r="AX44">
        <v>105.35050201416</v>
      </c>
      <c r="AY44">
        <v>105.66822052002</v>
      </c>
      <c r="AZ44">
        <v>106.517280578613</v>
      </c>
      <c r="BA44">
        <v>106.87387084960901</v>
      </c>
      <c r="BB44">
        <v>105.76389312744099</v>
      </c>
      <c r="BC44">
        <v>103.219367980957</v>
      </c>
      <c r="BD44">
        <v>103.170486450195</v>
      </c>
      <c r="BE44">
        <v>103.36978149414099</v>
      </c>
      <c r="BF44">
        <v>102.08489990234401</v>
      </c>
      <c r="BG44">
        <v>101.930870056152</v>
      </c>
      <c r="BH44">
        <v>101.712509155273</v>
      </c>
      <c r="BI44">
        <v>101.58518981933599</v>
      </c>
      <c r="BJ44">
        <v>101.396278381348</v>
      </c>
      <c r="BK44">
        <v>101.53801727294901</v>
      </c>
      <c r="BL44">
        <v>101.19320678710901</v>
      </c>
      <c r="BM44">
        <v>99.704399108886705</v>
      </c>
      <c r="BN44">
        <v>99.365226745605497</v>
      </c>
      <c r="BO44">
        <v>100.192268371582</v>
      </c>
      <c r="BP44">
        <v>100.31838226318401</v>
      </c>
    </row>
    <row r="45" spans="1:69" x14ac:dyDescent="0.3">
      <c r="A45" t="s">
        <v>79</v>
      </c>
      <c r="B45" t="s">
        <v>297</v>
      </c>
      <c r="C45" t="s">
        <v>544</v>
      </c>
      <c r="D45" t="s">
        <v>545</v>
      </c>
      <c r="O45">
        <v>120.784461975098</v>
      </c>
      <c r="P45">
        <v>112.423797607422</v>
      </c>
      <c r="Q45">
        <v>107.22080230712901</v>
      </c>
      <c r="R45">
        <v>108.24178314209</v>
      </c>
      <c r="S45">
        <v>106.41697692871099</v>
      </c>
      <c r="T45">
        <v>112.456108093262</v>
      </c>
      <c r="U45">
        <v>117.81340789794901</v>
      </c>
      <c r="V45">
        <v>115.725471496582</v>
      </c>
      <c r="W45">
        <v>110.961303710938</v>
      </c>
      <c r="X45">
        <v>109.98705291748</v>
      </c>
      <c r="Y45">
        <v>108.83651733398401</v>
      </c>
      <c r="Z45">
        <v>110.797317504883</v>
      </c>
      <c r="AA45">
        <v>111.920051574707</v>
      </c>
      <c r="AB45">
        <v>115.19058227539099</v>
      </c>
      <c r="AC45">
        <v>118.01406097412099</v>
      </c>
      <c r="AD45">
        <v>125.350952148438</v>
      </c>
      <c r="AE45">
        <v>131.11882019043</v>
      </c>
      <c r="AF45">
        <v>133.96646118164099</v>
      </c>
      <c r="AG45">
        <v>131.62074279785199</v>
      </c>
      <c r="AH45">
        <v>127.484756469727</v>
      </c>
      <c r="AI45">
        <v>120.85243988037099</v>
      </c>
      <c r="AJ45">
        <v>117.76071929931599</v>
      </c>
      <c r="AK45">
        <v>114.98574066162099</v>
      </c>
      <c r="AL45">
        <v>112.701606750488</v>
      </c>
      <c r="AM45">
        <v>111.16951751709</v>
      </c>
      <c r="AN45">
        <v>111.64446258544901</v>
      </c>
      <c r="AO45">
        <v>110.50991058349599</v>
      </c>
      <c r="AP45">
        <v>110.200721740723</v>
      </c>
      <c r="AQ45">
        <v>109.90235900878901</v>
      </c>
      <c r="AT45">
        <v>115.730102539062</v>
      </c>
      <c r="AY45">
        <v>105.243812561035</v>
      </c>
      <c r="AZ45">
        <v>105.43894958496099</v>
      </c>
      <c r="BA45">
        <v>106.201782226562</v>
      </c>
      <c r="BB45">
        <v>105.59065246582</v>
      </c>
      <c r="BC45">
        <v>104.181700271</v>
      </c>
      <c r="BD45">
        <v>103.329573551865</v>
      </c>
      <c r="BE45">
        <v>103.18111962484301</v>
      </c>
      <c r="BF45">
        <v>101.231978727477</v>
      </c>
      <c r="BG45">
        <v>96.896382708144401</v>
      </c>
      <c r="BH45">
        <v>96.340011477005007</v>
      </c>
      <c r="BI45">
        <v>96.878792189934302</v>
      </c>
      <c r="BJ45">
        <v>97.5379880463436</v>
      </c>
      <c r="BK45">
        <v>97.810305461556695</v>
      </c>
      <c r="BL45">
        <v>97.817490606529503</v>
      </c>
      <c r="BM45">
        <v>98.786062591834593</v>
      </c>
      <c r="BN45">
        <v>99.229455586660293</v>
      </c>
      <c r="BO45">
        <v>100.09807464465</v>
      </c>
      <c r="BP45">
        <v>99.171863423957106</v>
      </c>
      <c r="BQ45">
        <v>99.644962886981006</v>
      </c>
    </row>
    <row r="46" spans="1:69" x14ac:dyDescent="0.3">
      <c r="A46" t="s">
        <v>85</v>
      </c>
      <c r="B46" t="s">
        <v>303</v>
      </c>
      <c r="C46" t="s">
        <v>544</v>
      </c>
      <c r="D46" t="s">
        <v>545</v>
      </c>
      <c r="O46">
        <v>55.092098236083999</v>
      </c>
      <c r="P46">
        <v>56.788631439208999</v>
      </c>
      <c r="Q46">
        <v>56.752449035644503</v>
      </c>
      <c r="R46">
        <v>58.140369415283203</v>
      </c>
      <c r="S46">
        <v>59.349170684814503</v>
      </c>
      <c r="T46">
        <v>59.934871673583999</v>
      </c>
      <c r="U46">
        <v>60.029949188232401</v>
      </c>
      <c r="V46">
        <v>62.668521881103501</v>
      </c>
      <c r="W46">
        <v>65.809242248535199</v>
      </c>
      <c r="X46">
        <v>68.691078186035199</v>
      </c>
      <c r="Y46">
        <v>70.038558959960895</v>
      </c>
      <c r="Z46">
        <v>71.318893432617202</v>
      </c>
      <c r="AA46">
        <v>71.605636596679702</v>
      </c>
      <c r="AB46">
        <v>71.009231567382798</v>
      </c>
      <c r="AC46">
        <v>69.040756225585895</v>
      </c>
      <c r="AD46">
        <v>67.147010803222699</v>
      </c>
      <c r="AE46">
        <v>66.328369140625</v>
      </c>
      <c r="AF46">
        <v>65.747421264648395</v>
      </c>
      <c r="AG46">
        <v>66.172126770019503</v>
      </c>
      <c r="AH46">
        <v>66.681739807128906</v>
      </c>
      <c r="AI46">
        <v>66.247589111328097</v>
      </c>
      <c r="AJ46">
        <v>64.164352416992202</v>
      </c>
      <c r="AK46">
        <v>63.168678283691399</v>
      </c>
      <c r="AL46">
        <v>61.472259521484403</v>
      </c>
      <c r="AM46">
        <v>62.7941284179688</v>
      </c>
      <c r="AN46">
        <v>62.768539428710902</v>
      </c>
      <c r="AO46">
        <v>62.557960510253899</v>
      </c>
      <c r="AP46">
        <v>63.109169006347699</v>
      </c>
      <c r="AQ46">
        <v>63.544551849365199</v>
      </c>
      <c r="AR46">
        <v>65.067466735839801</v>
      </c>
      <c r="AS46">
        <v>64.529487609863295</v>
      </c>
      <c r="AT46">
        <v>66.335121154785199</v>
      </c>
      <c r="AU46">
        <v>66.868591308593807</v>
      </c>
      <c r="AV46">
        <v>63.023918151855497</v>
      </c>
      <c r="AY46">
        <v>59.555049896240199</v>
      </c>
      <c r="AZ46">
        <v>59.463111877441399</v>
      </c>
      <c r="BA46">
        <v>62.300468444824197</v>
      </c>
      <c r="BB46">
        <v>63.079280853271499</v>
      </c>
      <c r="BD46">
        <v>73.564163729111399</v>
      </c>
      <c r="BE46">
        <v>78.286058589822701</v>
      </c>
      <c r="BF46">
        <v>80.749846326536101</v>
      </c>
      <c r="BG46">
        <v>83.749103358717406</v>
      </c>
      <c r="BH46">
        <v>85.262803745883005</v>
      </c>
      <c r="BI46">
        <v>87.969185168179493</v>
      </c>
      <c r="BJ46">
        <v>88.205201113234807</v>
      </c>
      <c r="BK46">
        <v>88.210939705147993</v>
      </c>
      <c r="BL46">
        <v>88.474767056469304</v>
      </c>
      <c r="BM46">
        <v>88.626659846954098</v>
      </c>
      <c r="BN46">
        <v>85.830088505201999</v>
      </c>
      <c r="BO46">
        <v>86.454583878777797</v>
      </c>
      <c r="BP46">
        <v>91.809341224139899</v>
      </c>
      <c r="BQ46">
        <v>93.296436882688198</v>
      </c>
    </row>
    <row r="47" spans="1:69" x14ac:dyDescent="0.3">
      <c r="A47" t="s">
        <v>72</v>
      </c>
      <c r="B47" t="s">
        <v>290</v>
      </c>
      <c r="C47" t="s">
        <v>544</v>
      </c>
      <c r="D47" t="s">
        <v>545</v>
      </c>
      <c r="P47">
        <v>92.320999145507798</v>
      </c>
      <c r="Q47">
        <v>90.3948974609375</v>
      </c>
      <c r="R47">
        <v>91.240516662597699</v>
      </c>
      <c r="S47">
        <v>92.568740844726605</v>
      </c>
      <c r="T47">
        <v>94.652420043945298</v>
      </c>
      <c r="U47">
        <v>95.300491333007798</v>
      </c>
      <c r="V47">
        <v>93.621620178222699</v>
      </c>
      <c r="W47">
        <v>94.495956420898395</v>
      </c>
      <c r="X47">
        <v>94.827980041503906</v>
      </c>
      <c r="Y47">
        <v>94.991043090820298</v>
      </c>
      <c r="Z47">
        <v>96.941833496093807</v>
      </c>
      <c r="AA47">
        <v>98.088607788085895</v>
      </c>
      <c r="AB47">
        <v>101.12026214599599</v>
      </c>
      <c r="AC47">
        <v>99.665351867675795</v>
      </c>
      <c r="AD47">
        <v>100.75205230712901</v>
      </c>
      <c r="AE47">
        <v>101.62140655517599</v>
      </c>
      <c r="AF47">
        <v>103.390502929688</v>
      </c>
      <c r="AG47">
        <v>104.081336975098</v>
      </c>
      <c r="AH47">
        <v>100.64859008789099</v>
      </c>
      <c r="AI47">
        <v>100.785026550293</v>
      </c>
      <c r="AJ47">
        <v>98.597900390625</v>
      </c>
      <c r="AK47">
        <v>93.253036499023395</v>
      </c>
      <c r="AM47">
        <v>86.864997863769503</v>
      </c>
      <c r="AN47">
        <v>84.828010559082003</v>
      </c>
      <c r="AO47">
        <v>77.747306823730497</v>
      </c>
      <c r="AP47">
        <v>81.400558471679702</v>
      </c>
      <c r="AQ47">
        <v>83.596763610839801</v>
      </c>
      <c r="AR47">
        <v>86.172500610351605</v>
      </c>
      <c r="AS47">
        <v>88.488952636718807</v>
      </c>
      <c r="AT47">
        <v>104.278312683105</v>
      </c>
      <c r="AU47">
        <v>104.316276550293</v>
      </c>
      <c r="AV47">
        <v>104.62637329101599</v>
      </c>
      <c r="AW47">
        <v>109.464706420898</v>
      </c>
      <c r="AX47">
        <v>107.316940307617</v>
      </c>
      <c r="AY47">
        <v>105.71221923828099</v>
      </c>
      <c r="AZ47">
        <v>107.514030456543</v>
      </c>
      <c r="BA47">
        <v>107.60604858398401</v>
      </c>
      <c r="BB47">
        <v>109.50218963623</v>
      </c>
      <c r="BC47">
        <v>111.23470536902001</v>
      </c>
      <c r="BD47">
        <v>110.019145783217</v>
      </c>
      <c r="BE47">
        <v>114.354228488521</v>
      </c>
      <c r="BG47">
        <v>115.30420057953</v>
      </c>
      <c r="BH47">
        <v>117.75356832016099</v>
      </c>
      <c r="BI47">
        <v>117.173043298412</v>
      </c>
      <c r="BJ47">
        <v>111.221389894314</v>
      </c>
      <c r="BK47">
        <v>104.334202125375</v>
      </c>
      <c r="BL47">
        <v>106.75480128827</v>
      </c>
      <c r="BN47">
        <v>110.107790367283</v>
      </c>
      <c r="BO47">
        <v>112.49463611348401</v>
      </c>
      <c r="BP47">
        <v>114.42483263675901</v>
      </c>
      <c r="BQ47">
        <v>114.407278765947</v>
      </c>
    </row>
    <row r="48" spans="1:69" x14ac:dyDescent="0.3">
      <c r="A48" t="s">
        <v>82</v>
      </c>
      <c r="B48" t="s">
        <v>300</v>
      </c>
      <c r="C48" t="s">
        <v>544</v>
      </c>
      <c r="D48" t="s">
        <v>545</v>
      </c>
      <c r="P48">
        <v>96.677017211914105</v>
      </c>
      <c r="Q48">
        <v>96.237991333007798</v>
      </c>
      <c r="R48">
        <v>96.176712036132798</v>
      </c>
      <c r="S48">
        <v>94.892768859863295</v>
      </c>
      <c r="T48">
        <v>93.467002868652301</v>
      </c>
      <c r="U48">
        <v>93.408142089843807</v>
      </c>
      <c r="V48">
        <v>92.974876403808594</v>
      </c>
      <c r="W48">
        <v>93.714172363281193</v>
      </c>
      <c r="X48">
        <v>93.972419738769503</v>
      </c>
      <c r="Y48">
        <v>94.426040649414105</v>
      </c>
      <c r="Z48">
        <v>95.063346862792997</v>
      </c>
      <c r="AA48">
        <v>95.803268432617202</v>
      </c>
      <c r="AB48">
        <v>96.604949951171903</v>
      </c>
      <c r="AC48">
        <v>97.454231262207003</v>
      </c>
      <c r="AD48">
        <v>92.222091674804702</v>
      </c>
      <c r="AE48">
        <v>92.068817138671903</v>
      </c>
      <c r="AF48">
        <v>79.704368591308594</v>
      </c>
      <c r="AG48">
        <v>80.829719543457003</v>
      </c>
      <c r="AI48">
        <v>59.328460693359403</v>
      </c>
      <c r="AJ48">
        <v>75.938858032226605</v>
      </c>
      <c r="AK48">
        <v>74.083152770996094</v>
      </c>
      <c r="AL48">
        <v>75.120750427246094</v>
      </c>
      <c r="AM48">
        <v>73.318611145019503</v>
      </c>
      <c r="AN48">
        <v>77.150939941406193</v>
      </c>
      <c r="AQ48">
        <v>62.341621398925803</v>
      </c>
      <c r="AR48">
        <v>50.256229400634801</v>
      </c>
      <c r="AU48">
        <v>61.033599853515597</v>
      </c>
      <c r="AZ48">
        <v>83.549423217773395</v>
      </c>
      <c r="BA48">
        <v>91.886947631835895</v>
      </c>
      <c r="BB48">
        <v>91.907699584960895</v>
      </c>
      <c r="BC48">
        <v>92.086097717285199</v>
      </c>
      <c r="BD48">
        <v>93.522392272949205</v>
      </c>
      <c r="BE48">
        <v>98.243980407714801</v>
      </c>
      <c r="BF48">
        <v>99.912902832031193</v>
      </c>
      <c r="BG48">
        <v>103.857719421387</v>
      </c>
      <c r="BH48">
        <v>102.056510925293</v>
      </c>
      <c r="BK48">
        <v>111.48867034912099</v>
      </c>
      <c r="BM48">
        <v>115.89829254150401</v>
      </c>
      <c r="BN48">
        <v>120.06845092773401</v>
      </c>
      <c r="BP48">
        <v>117.602096557617</v>
      </c>
    </row>
    <row r="49" spans="1:70" x14ac:dyDescent="0.3">
      <c r="A49" t="s">
        <v>83</v>
      </c>
      <c r="B49" t="s">
        <v>301</v>
      </c>
      <c r="C49" t="s">
        <v>544</v>
      </c>
      <c r="D49" t="s">
        <v>545</v>
      </c>
      <c r="P49">
        <v>103.486602783203</v>
      </c>
      <c r="Q49">
        <v>108.76967620849599</v>
      </c>
      <c r="R49">
        <v>111.134971618652</v>
      </c>
      <c r="S49">
        <v>113.305366516113</v>
      </c>
      <c r="T49">
        <v>114.407341003418</v>
      </c>
      <c r="U49">
        <v>114.84319305419901</v>
      </c>
      <c r="V49">
        <v>115.118598937988</v>
      </c>
      <c r="W49">
        <v>116.91448211669901</v>
      </c>
      <c r="X49">
        <v>118.04727172851599</v>
      </c>
      <c r="Y49">
        <v>123.09715270996099</v>
      </c>
      <c r="Z49">
        <v>122.86026763916</v>
      </c>
      <c r="AA49">
        <v>125.185012817383</v>
      </c>
      <c r="AB49">
        <v>127.239852905273</v>
      </c>
      <c r="AC49">
        <v>130.24386596679699</v>
      </c>
      <c r="AD49">
        <v>131.03791809082</v>
      </c>
      <c r="AE49">
        <v>132.58792114257801</v>
      </c>
      <c r="AF49">
        <v>135.69973754882801</v>
      </c>
      <c r="AG49">
        <v>130.83668518066401</v>
      </c>
      <c r="AH49">
        <v>129.38896179199199</v>
      </c>
      <c r="AI49">
        <v>126.36840057373</v>
      </c>
      <c r="AJ49">
        <v>123.641471862793</v>
      </c>
      <c r="AK49">
        <v>119.88028717041</v>
      </c>
      <c r="AL49">
        <v>121.374877929688</v>
      </c>
      <c r="AM49">
        <v>116.69654083252</v>
      </c>
      <c r="AN49">
        <v>116.23110198974599</v>
      </c>
      <c r="AO49">
        <v>108.318649291992</v>
      </c>
      <c r="AP49">
        <v>106.237922668457</v>
      </c>
      <c r="AQ49">
        <v>89.010581970214801</v>
      </c>
      <c r="AR49">
        <v>56.185569763183601</v>
      </c>
      <c r="AS49">
        <v>83.168701171875</v>
      </c>
      <c r="AT49">
        <v>96.804557800292997</v>
      </c>
      <c r="AU49">
        <v>99.140373229980497</v>
      </c>
      <c r="AV49">
        <v>94.045242309570298</v>
      </c>
      <c r="AW49">
        <v>105.246383666992</v>
      </c>
      <c r="AX49">
        <v>105.24494171142599</v>
      </c>
      <c r="AY49">
        <v>106.36947631835901</v>
      </c>
      <c r="AZ49">
        <v>104.98300170898401</v>
      </c>
      <c r="BA49">
        <v>103.227241516113</v>
      </c>
      <c r="BB49">
        <v>107.30120086669901</v>
      </c>
      <c r="BC49">
        <v>109.023651123047</v>
      </c>
      <c r="BD49">
        <v>108.505096435547</v>
      </c>
      <c r="BE49">
        <v>105.51422882080099</v>
      </c>
      <c r="BK49">
        <v>87.462112426757798</v>
      </c>
      <c r="BP49">
        <v>87.880241394042997</v>
      </c>
    </row>
    <row r="50" spans="1:70" x14ac:dyDescent="0.3">
      <c r="A50" t="s">
        <v>80</v>
      </c>
      <c r="B50" t="s">
        <v>298</v>
      </c>
      <c r="C50" t="s">
        <v>544</v>
      </c>
      <c r="D50" t="s">
        <v>545</v>
      </c>
      <c r="AS50">
        <v>124.298286437988</v>
      </c>
      <c r="AT50">
        <v>121.088790893555</v>
      </c>
      <c r="AU50">
        <v>121.778861999512</v>
      </c>
      <c r="AW50">
        <v>122.84008026123</v>
      </c>
      <c r="AX50">
        <v>124.040641784668</v>
      </c>
      <c r="AY50">
        <v>124.619491577148</v>
      </c>
      <c r="AZ50">
        <v>125.468856811523</v>
      </c>
      <c r="BA50">
        <v>126.48390197753901</v>
      </c>
      <c r="BB50">
        <v>128.16497802734401</v>
      </c>
      <c r="BC50">
        <v>124.375137329102</v>
      </c>
      <c r="BD50">
        <v>121.83128356933599</v>
      </c>
      <c r="BE50">
        <v>118.63996887207</v>
      </c>
      <c r="BF50">
        <v>119.08473205566401</v>
      </c>
      <c r="BG50">
        <v>116.08010101318401</v>
      </c>
      <c r="BH50">
        <v>115.497077941895</v>
      </c>
      <c r="BI50">
        <v>115.443153381348</v>
      </c>
      <c r="BJ50">
        <v>113.305381774902</v>
      </c>
      <c r="BK50">
        <v>111.699180603027</v>
      </c>
      <c r="BL50">
        <v>109.355506896973</v>
      </c>
      <c r="BM50">
        <v>107.083686828613</v>
      </c>
      <c r="BN50">
        <v>106.488357543945</v>
      </c>
      <c r="BO50">
        <v>104.83046722412099</v>
      </c>
    </row>
    <row r="51" spans="1:70" x14ac:dyDescent="0.3">
      <c r="A51" t="s">
        <v>81</v>
      </c>
      <c r="B51" t="s">
        <v>299</v>
      </c>
      <c r="C51" t="s">
        <v>544</v>
      </c>
      <c r="D51" t="s">
        <v>545</v>
      </c>
      <c r="P51">
        <v>35.3448295593262</v>
      </c>
      <c r="Q51">
        <v>35.2664184570312</v>
      </c>
      <c r="R51">
        <v>43.792789459228501</v>
      </c>
      <c r="S51">
        <v>48.7023315429688</v>
      </c>
      <c r="T51">
        <v>57.855148315429702</v>
      </c>
      <c r="U51">
        <v>69.736381530761705</v>
      </c>
      <c r="V51">
        <v>79.512458801269503</v>
      </c>
      <c r="X51">
        <v>87.951957702636705</v>
      </c>
      <c r="Z51">
        <v>99.844490051269503</v>
      </c>
      <c r="AB51">
        <v>98.176040649414105</v>
      </c>
      <c r="AC51">
        <v>96.435752868652301</v>
      </c>
      <c r="AD51">
        <v>94.451103210449205</v>
      </c>
      <c r="AE51">
        <v>97.401512145996094</v>
      </c>
      <c r="AF51">
        <v>89.227600097656193</v>
      </c>
      <c r="AG51">
        <v>89.668403625488295</v>
      </c>
      <c r="AH51">
        <v>88.920768737792997</v>
      </c>
      <c r="AI51">
        <v>87.966751098632798</v>
      </c>
      <c r="AJ51">
        <v>91.423118591308594</v>
      </c>
      <c r="AK51">
        <v>95.920852661132798</v>
      </c>
      <c r="AL51">
        <v>90.474258422851605</v>
      </c>
      <c r="AM51">
        <v>92.075569152832003</v>
      </c>
      <c r="AO51">
        <v>86.911338806152301</v>
      </c>
      <c r="AQ51">
        <v>89.949790954589801</v>
      </c>
      <c r="AR51">
        <v>82.520812988281193</v>
      </c>
      <c r="AS51">
        <v>93.009902954101605</v>
      </c>
      <c r="AU51">
        <v>102.248458862305</v>
      </c>
      <c r="AV51">
        <v>100.24900054931599</v>
      </c>
      <c r="AW51">
        <v>97.923782348632798</v>
      </c>
      <c r="AZ51">
        <v>96.809089660644503</v>
      </c>
      <c r="BA51">
        <v>103.063667297363</v>
      </c>
      <c r="BD51">
        <v>111.27509474669</v>
      </c>
      <c r="BF51">
        <v>115.58346636917901</v>
      </c>
      <c r="BG51">
        <v>113.579839227082</v>
      </c>
      <c r="BJ51">
        <v>106.21929686543901</v>
      </c>
      <c r="BK51">
        <v>107.061915636176</v>
      </c>
      <c r="BN51">
        <v>86.817528141891302</v>
      </c>
      <c r="BQ51">
        <v>97.004918997967806</v>
      </c>
    </row>
    <row r="52" spans="1:70" x14ac:dyDescent="0.3">
      <c r="A52" t="s">
        <v>70</v>
      </c>
      <c r="B52" t="s">
        <v>288</v>
      </c>
      <c r="C52" t="s">
        <v>544</v>
      </c>
      <c r="D52" t="s">
        <v>545</v>
      </c>
      <c r="P52">
        <v>55.941310882568402</v>
      </c>
      <c r="Q52">
        <v>69.279846191406193</v>
      </c>
      <c r="R52">
        <v>87.195686340332003</v>
      </c>
      <c r="S52">
        <v>100.39202880859401</v>
      </c>
      <c r="T52">
        <v>106.300567626953</v>
      </c>
      <c r="U52">
        <v>127.705619812012</v>
      </c>
      <c r="V52">
        <v>115.637687683105</v>
      </c>
      <c r="W52">
        <v>110.77020263671901</v>
      </c>
      <c r="X52">
        <v>106.555450439453</v>
      </c>
      <c r="Y52">
        <v>102.764022827148</v>
      </c>
      <c r="Z52">
        <v>100.904136657715</v>
      </c>
      <c r="AA52">
        <v>98.39306640625</v>
      </c>
      <c r="AB52">
        <v>92.052467346191406</v>
      </c>
      <c r="AC52">
        <v>96.568626403808594</v>
      </c>
      <c r="AD52">
        <v>97.625320434570298</v>
      </c>
      <c r="AE52">
        <v>98.896759033203097</v>
      </c>
      <c r="AF52">
        <v>101.80706024169901</v>
      </c>
      <c r="AG52">
        <v>104.60601806640599</v>
      </c>
      <c r="AH52">
        <v>107.430778503418</v>
      </c>
      <c r="AI52">
        <v>109.38720703125</v>
      </c>
      <c r="AJ52">
        <v>109.919570922852</v>
      </c>
      <c r="AM52">
        <v>113.44052124023401</v>
      </c>
      <c r="AQ52">
        <v>117.61305999755901</v>
      </c>
      <c r="AR52">
        <v>117.623947143555</v>
      </c>
      <c r="AS52">
        <v>116.19644165039099</v>
      </c>
      <c r="AT52">
        <v>115.44879150390599</v>
      </c>
      <c r="AU52">
        <v>115.544151306152</v>
      </c>
      <c r="AV52">
        <v>114.57283782959</v>
      </c>
      <c r="AW52">
        <v>112.93459320068401</v>
      </c>
      <c r="AX52">
        <v>112.19191741943401</v>
      </c>
      <c r="AY52">
        <v>112.301071166992</v>
      </c>
      <c r="AZ52">
        <v>110.927947998047</v>
      </c>
      <c r="BA52">
        <v>109.969436645508</v>
      </c>
      <c r="BB52">
        <v>108.62046051025401</v>
      </c>
      <c r="BC52">
        <v>107.55552867532499</v>
      </c>
      <c r="BD52">
        <v>107.478306845395</v>
      </c>
      <c r="BE52">
        <v>108.38813689184001</v>
      </c>
      <c r="BF52">
        <v>108.020740500689</v>
      </c>
      <c r="BG52">
        <v>107.53603339203001</v>
      </c>
      <c r="BH52">
        <v>105.850444928795</v>
      </c>
      <c r="BI52">
        <v>104.433854930994</v>
      </c>
      <c r="BJ52">
        <v>104.154022187951</v>
      </c>
      <c r="BK52">
        <v>105.84560911247</v>
      </c>
      <c r="BL52">
        <v>105.20866598315899</v>
      </c>
      <c r="BM52">
        <v>103.42828248778</v>
      </c>
      <c r="BN52">
        <v>103.025970530848</v>
      </c>
      <c r="BO52">
        <v>102.973013922324</v>
      </c>
    </row>
    <row r="53" spans="1:70" x14ac:dyDescent="0.3">
      <c r="A53" t="s">
        <v>84</v>
      </c>
      <c r="B53" t="s">
        <v>302</v>
      </c>
      <c r="C53" t="s">
        <v>544</v>
      </c>
      <c r="D53" t="s">
        <v>545</v>
      </c>
      <c r="AS53">
        <v>105.324829101562</v>
      </c>
      <c r="AT53">
        <v>105.53547668457</v>
      </c>
      <c r="AU53">
        <v>105.317329406738</v>
      </c>
      <c r="AW53">
        <v>109.14980316162099</v>
      </c>
      <c r="AX53">
        <v>107.09986114502</v>
      </c>
      <c r="AY53">
        <v>108.81265258789099</v>
      </c>
      <c r="AZ53">
        <v>108.192337036133</v>
      </c>
      <c r="BA53">
        <v>109.62197113037099</v>
      </c>
      <c r="BB53">
        <v>110.964897155762</v>
      </c>
      <c r="BC53">
        <v>109.92635345459</v>
      </c>
      <c r="BD53">
        <v>108.69171905517599</v>
      </c>
      <c r="BE53">
        <v>107.54409027099599</v>
      </c>
      <c r="BF53">
        <v>105.42813873291</v>
      </c>
      <c r="BG53">
        <v>104.00788116455099</v>
      </c>
      <c r="BH53">
        <v>103.75464630127</v>
      </c>
      <c r="BI53">
        <v>104.59992218017599</v>
      </c>
      <c r="BJ53">
        <v>103.215171813965</v>
      </c>
      <c r="BK53">
        <v>105.51351928710901</v>
      </c>
      <c r="BL53">
        <v>108.82887268066401</v>
      </c>
      <c r="BM53">
        <v>108.293647766113</v>
      </c>
      <c r="BN53">
        <v>107.19036865234401</v>
      </c>
      <c r="BO53">
        <v>106.197128295898</v>
      </c>
      <c r="BP53">
        <v>106.156616210938</v>
      </c>
    </row>
    <row r="54" spans="1:70" x14ac:dyDescent="0.3">
      <c r="A54" t="s">
        <v>554</v>
      </c>
      <c r="B54" t="s">
        <v>555</v>
      </c>
      <c r="C54" t="s">
        <v>544</v>
      </c>
      <c r="D54" t="s">
        <v>545</v>
      </c>
      <c r="O54">
        <v>109.601760864258</v>
      </c>
      <c r="P54">
        <v>109.586921691895</v>
      </c>
      <c r="Q54">
        <v>110.945922851562</v>
      </c>
      <c r="R54">
        <v>109.29473876953099</v>
      </c>
      <c r="S54">
        <v>110.043739318848</v>
      </c>
      <c r="T54">
        <v>106.67253875732401</v>
      </c>
      <c r="U54">
        <v>106.18350219726599</v>
      </c>
      <c r="V54">
        <v>108.172401428223</v>
      </c>
      <c r="W54">
        <v>107.94309997558599</v>
      </c>
      <c r="X54">
        <v>107.60141754150401</v>
      </c>
      <c r="Y54">
        <v>105.278816223145</v>
      </c>
      <c r="Z54">
        <v>104.20767211914099</v>
      </c>
      <c r="AA54">
        <v>105.44905090332</v>
      </c>
      <c r="AB54">
        <v>105.63060760498</v>
      </c>
      <c r="AC54">
        <v>104.527221679688</v>
      </c>
      <c r="AD54">
        <v>103.95005035400401</v>
      </c>
      <c r="AE54">
        <v>102.6767578125</v>
      </c>
      <c r="AF54">
        <v>102.96492767334</v>
      </c>
      <c r="AG54">
        <v>102.668670654297</v>
      </c>
      <c r="AH54">
        <v>104.029052734375</v>
      </c>
      <c r="AI54">
        <v>102.465278625488</v>
      </c>
      <c r="AJ54">
        <v>101.44402313232401</v>
      </c>
      <c r="AK54">
        <v>101.794143676758</v>
      </c>
      <c r="AL54">
        <v>101.877632141113</v>
      </c>
      <c r="AM54">
        <v>102.451530456543</v>
      </c>
      <c r="AN54">
        <v>101.69499206543</v>
      </c>
      <c r="AO54">
        <v>100.886932373047</v>
      </c>
      <c r="AP54">
        <v>100.288711547852</v>
      </c>
      <c r="AQ54">
        <v>99.550819396972699</v>
      </c>
      <c r="AR54">
        <v>98.139587402343807</v>
      </c>
      <c r="AS54">
        <v>98.609138488769503</v>
      </c>
      <c r="AT54">
        <v>97.726051330566406</v>
      </c>
      <c r="AU54">
        <v>96.475822448730497</v>
      </c>
      <c r="AV54">
        <v>96.903236389160199</v>
      </c>
      <c r="AW54">
        <v>98.415863037109403</v>
      </c>
      <c r="AX54">
        <v>98.631118774414105</v>
      </c>
      <c r="AY54">
        <v>98.763397216796903</v>
      </c>
      <c r="AZ54">
        <v>98.606246948242202</v>
      </c>
      <c r="BA54">
        <v>101.459197998047</v>
      </c>
      <c r="BB54">
        <v>102.052131652832</v>
      </c>
      <c r="BC54">
        <v>101.148361206055</v>
      </c>
      <c r="BD54">
        <v>101.95807647705099</v>
      </c>
      <c r="BE54">
        <v>101.86782836914099</v>
      </c>
      <c r="BF54">
        <v>101.05242919921901</v>
      </c>
      <c r="BG54">
        <v>99.749710083007798</v>
      </c>
      <c r="BH54">
        <v>99.715652465820298</v>
      </c>
      <c r="BI54">
        <v>99.331481933593807</v>
      </c>
      <c r="BJ54">
        <v>98.682220458984403</v>
      </c>
      <c r="BK54">
        <v>99.696578979492202</v>
      </c>
      <c r="BL54">
        <v>98.578918457031193</v>
      </c>
      <c r="BM54">
        <v>97.162246704101605</v>
      </c>
      <c r="BN54">
        <v>96.268836975097699</v>
      </c>
      <c r="BO54">
        <v>95.41455078125</v>
      </c>
      <c r="BP54">
        <v>93.223777770996094</v>
      </c>
      <c r="BQ54">
        <v>94.041282653808594</v>
      </c>
    </row>
    <row r="55" spans="1:70" x14ac:dyDescent="0.3">
      <c r="A55" t="s">
        <v>87</v>
      </c>
      <c r="B55" t="s">
        <v>305</v>
      </c>
      <c r="C55" t="s">
        <v>544</v>
      </c>
      <c r="D55" t="s">
        <v>545</v>
      </c>
      <c r="P55">
        <v>114.805946350098</v>
      </c>
      <c r="Q55">
        <v>117.974731445312</v>
      </c>
      <c r="R55">
        <v>121.716522216797</v>
      </c>
      <c r="S55">
        <v>122.31607055664099</v>
      </c>
      <c r="T55">
        <v>122.38604736328099</v>
      </c>
      <c r="U55">
        <v>121.76596069335901</v>
      </c>
      <c r="V55">
        <v>118.89923858642599</v>
      </c>
      <c r="W55">
        <v>116.08957672119099</v>
      </c>
      <c r="X55">
        <v>112.831268310547</v>
      </c>
      <c r="Y55">
        <v>109.46800231933599</v>
      </c>
      <c r="Z55">
        <v>106.389282226562</v>
      </c>
      <c r="AA55">
        <v>106.17539215087901</v>
      </c>
      <c r="AB55">
        <v>108.16439819335901</v>
      </c>
      <c r="AC55">
        <v>108.724472045898</v>
      </c>
      <c r="AD55">
        <v>107.23072052002</v>
      </c>
      <c r="AE55">
        <v>106.24868774414099</v>
      </c>
      <c r="AF55">
        <v>106.09934997558599</v>
      </c>
      <c r="AG55">
        <v>105.723709106445</v>
      </c>
      <c r="AH55">
        <v>103.97910308837901</v>
      </c>
      <c r="AI55">
        <v>102.317100524902</v>
      </c>
      <c r="AJ55">
        <v>101.07537841796901</v>
      </c>
      <c r="AK55">
        <v>101.66854095459</v>
      </c>
      <c r="AL55">
        <v>100.66867828369099</v>
      </c>
      <c r="AM55">
        <v>100.57781982421901</v>
      </c>
      <c r="AN55">
        <v>100.10768127441401</v>
      </c>
      <c r="AO55">
        <v>104.42478179931599</v>
      </c>
      <c r="AP55">
        <v>104.782592773438</v>
      </c>
      <c r="AQ55">
        <v>103.534149169922</v>
      </c>
      <c r="AR55">
        <v>104.17294311523401</v>
      </c>
      <c r="AS55">
        <v>103.836959838867</v>
      </c>
      <c r="AT55">
        <v>103.53816986084</v>
      </c>
      <c r="AU55">
        <v>104.042320251465</v>
      </c>
      <c r="AV55">
        <v>102.91013336181599</v>
      </c>
      <c r="AW55">
        <v>103.29078674316401</v>
      </c>
      <c r="AX55">
        <v>103.219841003418</v>
      </c>
      <c r="AY55">
        <v>102.97646331787099</v>
      </c>
      <c r="AZ55">
        <v>102.083908081055</v>
      </c>
      <c r="BA55">
        <v>100.847221374512</v>
      </c>
      <c r="BB55">
        <v>101.11939239502</v>
      </c>
      <c r="BC55">
        <v>100.716090239417</v>
      </c>
      <c r="BD55">
        <v>100.29059454433001</v>
      </c>
      <c r="BE55">
        <v>100.828907180724</v>
      </c>
      <c r="BF55">
        <v>100.721599181727</v>
      </c>
      <c r="BG55">
        <v>103.05632781982401</v>
      </c>
      <c r="BH55">
        <v>103.193222045898</v>
      </c>
      <c r="BI55">
        <v>101.07589187615601</v>
      </c>
      <c r="BJ55">
        <v>100.56163148151801</v>
      </c>
      <c r="BK55">
        <v>100.343380546441</v>
      </c>
      <c r="BL55">
        <v>100.80254602678001</v>
      </c>
      <c r="BM55">
        <v>101.31743274332101</v>
      </c>
      <c r="BN55">
        <v>101.302915584834</v>
      </c>
      <c r="BO55">
        <v>100.580196272572</v>
      </c>
      <c r="BP55">
        <v>99.328173383104399</v>
      </c>
      <c r="BQ55">
        <v>98.109219190307897</v>
      </c>
    </row>
    <row r="56" spans="1:70" x14ac:dyDescent="0.3">
      <c r="A56" t="s">
        <v>88</v>
      </c>
      <c r="B56" t="s">
        <v>306</v>
      </c>
      <c r="C56" t="s">
        <v>544</v>
      </c>
      <c r="D56" t="s">
        <v>545</v>
      </c>
      <c r="BF56">
        <v>175.82157641294299</v>
      </c>
      <c r="BM56">
        <v>113.350877192982</v>
      </c>
      <c r="BP56">
        <v>109.168144897769</v>
      </c>
    </row>
    <row r="57" spans="1:70" x14ac:dyDescent="0.3">
      <c r="A57" t="s">
        <v>74</v>
      </c>
      <c r="B57" t="s">
        <v>292</v>
      </c>
      <c r="C57" t="s">
        <v>544</v>
      </c>
      <c r="D57" t="s">
        <v>545</v>
      </c>
      <c r="Q57">
        <v>94.967819213867202</v>
      </c>
      <c r="R57">
        <v>97.344108581542997</v>
      </c>
      <c r="S57">
        <v>109.64813232421901</v>
      </c>
      <c r="T57">
        <v>106.03688812255901</v>
      </c>
      <c r="U57">
        <v>104.826461791992</v>
      </c>
      <c r="V57">
        <v>116.718910217285</v>
      </c>
      <c r="W57">
        <v>106.272132873535</v>
      </c>
      <c r="X57">
        <v>103.986221313477</v>
      </c>
      <c r="Y57">
        <v>101.736610412598</v>
      </c>
      <c r="Z57">
        <v>101.239868164062</v>
      </c>
      <c r="AR57">
        <v>106.668869018555</v>
      </c>
      <c r="AS57">
        <v>108.01886749267599</v>
      </c>
      <c r="AT57">
        <v>108.13527679443401</v>
      </c>
      <c r="AU57">
        <v>107.187782287598</v>
      </c>
      <c r="AW57">
        <v>99.555686950683594</v>
      </c>
      <c r="AX57">
        <v>95.659881591796903</v>
      </c>
      <c r="AY57">
        <v>99.568466186523395</v>
      </c>
      <c r="AZ57">
        <v>103.577423095703</v>
      </c>
      <c r="BA57">
        <v>102.49656677246099</v>
      </c>
      <c r="BD57">
        <v>103.911342894394</v>
      </c>
      <c r="BE57">
        <v>103.277848911652</v>
      </c>
      <c r="BF57">
        <v>98.675993005246099</v>
      </c>
      <c r="BK57">
        <v>92.075390875990607</v>
      </c>
      <c r="BL57">
        <v>94.321093082835205</v>
      </c>
      <c r="BM57">
        <v>97.652379926771502</v>
      </c>
      <c r="BN57">
        <v>95.478489903424105</v>
      </c>
      <c r="BO57">
        <v>98.385670057496696</v>
      </c>
      <c r="BP57">
        <v>101.44124168514401</v>
      </c>
      <c r="BQ57">
        <v>95.736690965319198</v>
      </c>
    </row>
    <row r="58" spans="1:70" x14ac:dyDescent="0.3">
      <c r="A58" t="s">
        <v>89</v>
      </c>
      <c r="B58" t="s">
        <v>307</v>
      </c>
      <c r="C58" t="s">
        <v>544</v>
      </c>
      <c r="D58" t="s">
        <v>545</v>
      </c>
      <c r="AS58">
        <v>96.731353759765597</v>
      </c>
      <c r="AT58">
        <v>96.649612426757798</v>
      </c>
      <c r="AU58">
        <v>97.773452758789105</v>
      </c>
      <c r="AV58">
        <v>97.388229370117202</v>
      </c>
      <c r="AW58">
        <v>97.198867797851605</v>
      </c>
      <c r="AX58">
        <v>99.871177673339801</v>
      </c>
      <c r="AY58">
        <v>100.887046813965</v>
      </c>
      <c r="AZ58">
        <v>100.688270568848</v>
      </c>
      <c r="BA58">
        <v>101.213508605957</v>
      </c>
      <c r="BB58">
        <v>102.179481506348</v>
      </c>
      <c r="BC58">
        <v>101.62432861328099</v>
      </c>
      <c r="BD58">
        <v>101.20053863525401</v>
      </c>
      <c r="BE58">
        <v>100.175346374512</v>
      </c>
      <c r="BF58">
        <v>99.761978149414105</v>
      </c>
      <c r="BG58">
        <v>99.152717590332003</v>
      </c>
      <c r="BH58">
        <v>99.300117492675795</v>
      </c>
      <c r="BI58">
        <v>98.545509338378906</v>
      </c>
      <c r="BJ58">
        <v>99.306686401367202</v>
      </c>
      <c r="BK58">
        <v>99.795440673828097</v>
      </c>
      <c r="BL58">
        <v>100.477699279785</v>
      </c>
      <c r="BM58">
        <v>100.735160827637</v>
      </c>
      <c r="BN58">
        <v>99.102813720703097</v>
      </c>
      <c r="BO58">
        <v>97.001640319824205</v>
      </c>
      <c r="BP58">
        <v>98.591827392578097</v>
      </c>
    </row>
    <row r="59" spans="1:70" x14ac:dyDescent="0.3">
      <c r="A59" t="s">
        <v>90</v>
      </c>
      <c r="B59" t="s">
        <v>308</v>
      </c>
      <c r="C59" t="s">
        <v>544</v>
      </c>
      <c r="D59" t="s">
        <v>545</v>
      </c>
      <c r="AS59">
        <v>103.40754699707</v>
      </c>
      <c r="AT59">
        <v>104.46962738037099</v>
      </c>
      <c r="AU59">
        <v>106.00505828857401</v>
      </c>
      <c r="AV59">
        <v>106.40998077392599</v>
      </c>
      <c r="AW59">
        <v>106.52911376953099</v>
      </c>
      <c r="AX59">
        <v>106.73777770996099</v>
      </c>
      <c r="AY59">
        <v>104.37277984619099</v>
      </c>
      <c r="AZ59">
        <v>103.382110595703</v>
      </c>
      <c r="BA59">
        <v>102.214767456055</v>
      </c>
      <c r="BB59">
        <v>101.478927612305</v>
      </c>
      <c r="BC59">
        <v>101.036407470703</v>
      </c>
      <c r="BD59">
        <v>100.081001281738</v>
      </c>
      <c r="BE59">
        <v>99.358581542968807</v>
      </c>
      <c r="BF59">
        <v>98.780479431152301</v>
      </c>
      <c r="BG59">
        <v>97.682159423828097</v>
      </c>
      <c r="BH59">
        <v>96.9615478515625</v>
      </c>
      <c r="BI59">
        <v>96.909759521484403</v>
      </c>
      <c r="BJ59">
        <v>97.232490539550795</v>
      </c>
      <c r="BK59">
        <v>98.272758483886705</v>
      </c>
      <c r="BL59">
        <v>99.283302307128906</v>
      </c>
      <c r="BM59">
        <v>99.784530639648395</v>
      </c>
      <c r="BN59">
        <v>101.677841186523</v>
      </c>
      <c r="BO59">
        <v>100.97534942627</v>
      </c>
      <c r="BP59">
        <v>99.699089050292997</v>
      </c>
    </row>
    <row r="60" spans="1:70" x14ac:dyDescent="0.3">
      <c r="A60" t="s">
        <v>111</v>
      </c>
      <c r="B60" t="s">
        <v>329</v>
      </c>
      <c r="C60" t="s">
        <v>544</v>
      </c>
      <c r="D60" t="s">
        <v>545</v>
      </c>
      <c r="AS60">
        <v>105.392036437988</v>
      </c>
      <c r="AT60">
        <v>106.650672912598</v>
      </c>
      <c r="AU60">
        <v>104.92115020752</v>
      </c>
      <c r="AV60">
        <v>103.66805267334</v>
      </c>
      <c r="AW60">
        <v>103.64272308349599</v>
      </c>
      <c r="AX60">
        <v>103.440620422363</v>
      </c>
      <c r="AY60">
        <v>104.262641906738</v>
      </c>
      <c r="AZ60">
        <v>104.793502807617</v>
      </c>
      <c r="BA60">
        <v>105.10398101806599</v>
      </c>
      <c r="BB60">
        <v>104.816513061523</v>
      </c>
      <c r="BC60">
        <v>104.337593078613</v>
      </c>
      <c r="BD60">
        <v>104.415718078613</v>
      </c>
      <c r="BE60">
        <v>104.140548706055</v>
      </c>
      <c r="BF60">
        <v>103.638671875</v>
      </c>
      <c r="BG60">
        <v>102.62181854248</v>
      </c>
      <c r="BH60">
        <v>102.70246124267599</v>
      </c>
      <c r="BI60">
        <v>101.40606689453099</v>
      </c>
      <c r="BJ60">
        <v>101.73870849609401</v>
      </c>
      <c r="BK60">
        <v>102.645378112793</v>
      </c>
      <c r="BL60">
        <v>102.547470092773</v>
      </c>
      <c r="BM60">
        <v>101.996658325195</v>
      </c>
      <c r="BN60">
        <v>101.346549987793</v>
      </c>
      <c r="BO60">
        <v>100.218132019043</v>
      </c>
      <c r="BP60">
        <v>102.19068908691401</v>
      </c>
    </row>
    <row r="61" spans="1:70" x14ac:dyDescent="0.3">
      <c r="A61" t="s">
        <v>92</v>
      </c>
      <c r="B61" t="s">
        <v>310</v>
      </c>
      <c r="C61" t="s">
        <v>544</v>
      </c>
      <c r="D61" t="s">
        <v>545</v>
      </c>
    </row>
    <row r="62" spans="1:70" x14ac:dyDescent="0.3">
      <c r="A62" t="s">
        <v>93</v>
      </c>
      <c r="B62" t="s">
        <v>311</v>
      </c>
      <c r="C62" t="s">
        <v>544</v>
      </c>
      <c r="D62" t="s">
        <v>545</v>
      </c>
      <c r="P62">
        <v>111.81714630127</v>
      </c>
      <c r="Q62">
        <v>111.063858032227</v>
      </c>
      <c r="R62">
        <v>109.307983398438</v>
      </c>
      <c r="S62">
        <v>106.05287933349599</v>
      </c>
      <c r="T62">
        <v>110.02864074707</v>
      </c>
      <c r="U62">
        <v>107.935111999512</v>
      </c>
      <c r="V62">
        <v>111.982147216797</v>
      </c>
      <c r="W62">
        <v>112.495956420898</v>
      </c>
      <c r="X62">
        <v>108.744247436523</v>
      </c>
      <c r="Y62">
        <v>104.662551879883</v>
      </c>
      <c r="Z62">
        <v>101.716438293457</v>
      </c>
      <c r="AA62">
        <v>106.68060302734401</v>
      </c>
      <c r="AC62">
        <v>108.18537139892599</v>
      </c>
      <c r="AE62">
        <v>112.192016601562</v>
      </c>
      <c r="AF62">
        <v>119.442626953125</v>
      </c>
      <c r="AG62">
        <v>118.66641998291</v>
      </c>
      <c r="AI62">
        <v>115.71076965332</v>
      </c>
      <c r="AJ62">
        <v>114.39266204834</v>
      </c>
      <c r="AK62">
        <v>108.436973571777</v>
      </c>
      <c r="AL62">
        <v>116.53005218505901</v>
      </c>
      <c r="AM62">
        <v>118.777206420898</v>
      </c>
      <c r="AN62">
        <v>119.201362609863</v>
      </c>
      <c r="AR62">
        <v>119.99600982666</v>
      </c>
      <c r="AS62">
        <v>117.881462097168</v>
      </c>
      <c r="AT62">
        <v>114.94367980957</v>
      </c>
      <c r="AU62">
        <v>111.388298034668</v>
      </c>
      <c r="AV62">
        <v>107.957481384277</v>
      </c>
      <c r="AW62">
        <v>104.842819213867</v>
      </c>
      <c r="AX62">
        <v>104.067459106445</v>
      </c>
      <c r="AY62">
        <v>102.460342407227</v>
      </c>
      <c r="AZ62">
        <v>103.04006195068401</v>
      </c>
      <c r="BA62">
        <v>103.257247924805</v>
      </c>
      <c r="BB62">
        <v>104.64022064209</v>
      </c>
      <c r="BC62">
        <v>105.756985055231</v>
      </c>
      <c r="BD62">
        <v>107.47490755414699</v>
      </c>
      <c r="BE62">
        <v>108.432130011989</v>
      </c>
      <c r="BF62">
        <v>109.373698097486</v>
      </c>
      <c r="BG62">
        <v>103.483055406132</v>
      </c>
      <c r="BH62">
        <v>103.66896551724101</v>
      </c>
      <c r="BI62">
        <v>102.00585039699099</v>
      </c>
      <c r="BJ62">
        <v>109.576427255985</v>
      </c>
      <c r="BK62">
        <v>97.366370578151802</v>
      </c>
      <c r="BL62">
        <v>97.570271557884695</v>
      </c>
      <c r="BM62">
        <v>99.325517905893705</v>
      </c>
      <c r="BN62">
        <v>101.036354663596</v>
      </c>
      <c r="BO62">
        <v>100.808761583825</v>
      </c>
      <c r="BP62">
        <v>99.072164948453604</v>
      </c>
      <c r="BQ62">
        <v>96.787709497206706</v>
      </c>
      <c r="BR62">
        <v>97.660608241857105</v>
      </c>
    </row>
    <row r="63" spans="1:70" x14ac:dyDescent="0.3">
      <c r="A63" t="s">
        <v>91</v>
      </c>
      <c r="B63" t="s">
        <v>309</v>
      </c>
      <c r="C63" t="s">
        <v>544</v>
      </c>
      <c r="D63" t="s">
        <v>545</v>
      </c>
      <c r="AS63">
        <v>99.671051025390597</v>
      </c>
      <c r="AT63">
        <v>99.720642089843807</v>
      </c>
      <c r="AU63">
        <v>101.68817138671901</v>
      </c>
      <c r="AW63">
        <v>100</v>
      </c>
      <c r="AX63">
        <v>98.210586547851605</v>
      </c>
      <c r="AY63">
        <v>99.346038818359403</v>
      </c>
      <c r="AZ63">
        <v>100</v>
      </c>
      <c r="BA63">
        <v>99.660270690917997</v>
      </c>
      <c r="BB63">
        <v>100.00245666503901</v>
      </c>
      <c r="BC63">
        <v>100.18155670166</v>
      </c>
      <c r="BD63">
        <v>101.197456359863</v>
      </c>
      <c r="BE63">
        <v>101.51065826416</v>
      </c>
      <c r="BF63">
        <v>101.29933166503901</v>
      </c>
      <c r="BG63">
        <v>101.17694091796901</v>
      </c>
      <c r="BH63">
        <v>100.88214111328099</v>
      </c>
      <c r="BI63">
        <v>101.041496276855</v>
      </c>
      <c r="BJ63">
        <v>100.778030395508</v>
      </c>
      <c r="BK63">
        <v>100.74900817871099</v>
      </c>
      <c r="BL63">
        <v>100.55100250244099</v>
      </c>
      <c r="BM63">
        <v>100.459587097168</v>
      </c>
      <c r="BN63">
        <v>100.30841827392599</v>
      </c>
      <c r="BO63">
        <v>100.24445343017599</v>
      </c>
      <c r="BP63">
        <v>99.869888305664105</v>
      </c>
    </row>
    <row r="64" spans="1:70" x14ac:dyDescent="0.3">
      <c r="A64" t="s">
        <v>94</v>
      </c>
      <c r="B64" t="s">
        <v>312</v>
      </c>
      <c r="C64" t="s">
        <v>544</v>
      </c>
      <c r="D64" t="s">
        <v>545</v>
      </c>
      <c r="AS64">
        <v>115.308647155762</v>
      </c>
      <c r="AU64">
        <v>117.96833038330099</v>
      </c>
      <c r="AV64">
        <v>115.68123626709</v>
      </c>
      <c r="AW64">
        <v>107.71645355224599</v>
      </c>
      <c r="AX64">
        <v>108.27439117431599</v>
      </c>
      <c r="AY64">
        <v>103.604438781738</v>
      </c>
      <c r="AZ64">
        <v>113.67666625976599</v>
      </c>
      <c r="BA64">
        <v>109.52512359619099</v>
      </c>
      <c r="BB64">
        <v>111.815872192383</v>
      </c>
      <c r="BC64">
        <v>110.497961182388</v>
      </c>
      <c r="BD64">
        <v>110.200677757395</v>
      </c>
      <c r="BE64">
        <v>108.469020139424</v>
      </c>
      <c r="BF64">
        <v>109.52824490682301</v>
      </c>
      <c r="BG64">
        <v>108.06454912094701</v>
      </c>
      <c r="BH64">
        <v>112.01349171935399</v>
      </c>
      <c r="BI64">
        <v>110.70487684674001</v>
      </c>
      <c r="BJ64">
        <v>108.019439917331</v>
      </c>
      <c r="BK64">
        <v>105.858397882856</v>
      </c>
      <c r="BL64">
        <v>112.333610534668</v>
      </c>
      <c r="BM64">
        <v>105.92524239824699</v>
      </c>
      <c r="BN64">
        <v>96.870457045114705</v>
      </c>
      <c r="BO64">
        <v>100.492291150329</v>
      </c>
      <c r="BP64">
        <v>101.644848757662</v>
      </c>
      <c r="BQ64">
        <v>101.939084340722</v>
      </c>
    </row>
    <row r="65" spans="1:70" x14ac:dyDescent="0.3">
      <c r="A65" t="s">
        <v>40</v>
      </c>
      <c r="B65" t="s">
        <v>258</v>
      </c>
      <c r="C65" t="s">
        <v>544</v>
      </c>
      <c r="D65" t="s">
        <v>545</v>
      </c>
      <c r="P65">
        <v>74.083488464355497</v>
      </c>
      <c r="Q65">
        <v>79.225311279296903</v>
      </c>
      <c r="R65">
        <v>85.245468139648395</v>
      </c>
      <c r="S65">
        <v>90.666229248046903</v>
      </c>
      <c r="T65">
        <v>94.406936645507798</v>
      </c>
      <c r="U65">
        <v>95.295089721679702</v>
      </c>
      <c r="V65">
        <v>93.358306884765597</v>
      </c>
      <c r="W65">
        <v>94.149742126464801</v>
      </c>
      <c r="X65">
        <v>93.833572387695298</v>
      </c>
      <c r="Y65">
        <v>93.788101196289105</v>
      </c>
      <c r="Z65">
        <v>92.777198791503906</v>
      </c>
      <c r="AA65">
        <v>91.928779602050795</v>
      </c>
      <c r="AB65">
        <v>91.788757324218807</v>
      </c>
      <c r="AC65">
        <v>92.775489807128906</v>
      </c>
      <c r="AD65">
        <v>93.149673461914105</v>
      </c>
      <c r="AE65">
        <v>92.973907470703097</v>
      </c>
      <c r="AF65">
        <v>94.793930053710895</v>
      </c>
      <c r="AG65">
        <v>96.6365966796875</v>
      </c>
      <c r="AH65">
        <v>96.373687744140597</v>
      </c>
      <c r="AI65">
        <v>96.017372131347699</v>
      </c>
      <c r="AJ65">
        <v>96.908302307128906</v>
      </c>
      <c r="AK65">
        <v>98.201812744140597</v>
      </c>
      <c r="AL65">
        <v>97.7574462890625</v>
      </c>
      <c r="AM65">
        <v>98.404609680175795</v>
      </c>
      <c r="AN65">
        <v>98.672416687011705</v>
      </c>
      <c r="AO65">
        <v>100.232383728027</v>
      </c>
      <c r="AP65">
        <v>101.96067810058599</v>
      </c>
      <c r="AQ65">
        <v>103.693977355957</v>
      </c>
      <c r="AR65">
        <v>106.49136352539099</v>
      </c>
      <c r="AS65">
        <v>109.73439788818401</v>
      </c>
      <c r="AT65">
        <v>109.01783752441401</v>
      </c>
      <c r="AU65">
        <v>110.677276611328</v>
      </c>
      <c r="AV65">
        <v>111.38778686523401</v>
      </c>
      <c r="AW65">
        <v>111.65512847900401</v>
      </c>
      <c r="AX65">
        <v>112.39859008789099</v>
      </c>
      <c r="AY65">
        <v>112.07708740234401</v>
      </c>
      <c r="AZ65">
        <v>112.334480285645</v>
      </c>
      <c r="BA65">
        <v>110.91094970703099</v>
      </c>
      <c r="BB65">
        <v>113.491889953613</v>
      </c>
      <c r="BC65">
        <v>113.807026512965</v>
      </c>
      <c r="BD65">
        <v>112.73376452732199</v>
      </c>
      <c r="BE65">
        <v>112.067747390185</v>
      </c>
      <c r="BF65">
        <v>112.336630248486</v>
      </c>
      <c r="BG65">
        <v>111.144837219297</v>
      </c>
      <c r="BH65">
        <v>109.584787441309</v>
      </c>
      <c r="BI65">
        <v>109.072307418092</v>
      </c>
      <c r="BJ65">
        <v>108.062271942986</v>
      </c>
      <c r="BK65">
        <v>107.09512187102899</v>
      </c>
      <c r="BL65">
        <v>106.067513980116</v>
      </c>
      <c r="BM65">
        <v>108.531941210547</v>
      </c>
      <c r="BN65">
        <v>104.739764213022</v>
      </c>
      <c r="BO65">
        <v>105.74715363116</v>
      </c>
      <c r="BP65">
        <v>105.84074848087501</v>
      </c>
      <c r="BQ65">
        <v>106.368889468205</v>
      </c>
      <c r="BR65">
        <v>105.480690694811</v>
      </c>
    </row>
    <row r="66" spans="1:70" x14ac:dyDescent="0.3">
      <c r="A66" t="s">
        <v>556</v>
      </c>
      <c r="B66" t="s">
        <v>557</v>
      </c>
      <c r="C66" t="s">
        <v>544</v>
      </c>
      <c r="D66" t="s">
        <v>545</v>
      </c>
      <c r="O66">
        <v>110.67588043212901</v>
      </c>
      <c r="P66">
        <v>105.528701782227</v>
      </c>
      <c r="Q66">
        <v>102.606117248535</v>
      </c>
      <c r="R66">
        <v>103.67205047607401</v>
      </c>
      <c r="S66">
        <v>102.702362060547</v>
      </c>
      <c r="T66">
        <v>107.46938323974599</v>
      </c>
      <c r="U66">
        <v>111.720809936523</v>
      </c>
      <c r="V66">
        <v>110.957160949707</v>
      </c>
      <c r="W66">
        <v>108.65583038330099</v>
      </c>
      <c r="X66">
        <v>108.15007019043</v>
      </c>
      <c r="Y66">
        <v>108.14305114746099</v>
      </c>
      <c r="Z66">
        <v>110.14096832275401</v>
      </c>
      <c r="AA66">
        <v>111.641410827637</v>
      </c>
      <c r="AB66">
        <v>114.154258728027</v>
      </c>
      <c r="AC66">
        <v>116.359268188477</v>
      </c>
      <c r="AD66">
        <v>121.09747314453099</v>
      </c>
      <c r="AE66">
        <v>124.171577453613</v>
      </c>
      <c r="AF66">
        <v>125.72015380859401</v>
      </c>
      <c r="AG66">
        <v>123.90663909912099</v>
      </c>
      <c r="AH66">
        <v>121.04274749755901</v>
      </c>
      <c r="AI66">
        <v>116.07527923584</v>
      </c>
      <c r="AJ66">
        <v>113.98708343505901</v>
      </c>
      <c r="AK66">
        <v>112.188751220703</v>
      </c>
      <c r="AL66">
        <v>110.885391235352</v>
      </c>
      <c r="AM66">
        <v>110.11988830566401</v>
      </c>
      <c r="AN66">
        <v>110.166130065918</v>
      </c>
      <c r="AO66">
        <v>109.46257019043</v>
      </c>
      <c r="AP66">
        <v>109.16806030273401</v>
      </c>
      <c r="AQ66">
        <v>108.904190063477</v>
      </c>
      <c r="AR66">
        <v>110.373329162598</v>
      </c>
      <c r="AS66">
        <v>110.940551757812</v>
      </c>
      <c r="AT66">
        <v>111.72444152832</v>
      </c>
      <c r="AU66">
        <v>110.154830932617</v>
      </c>
      <c r="AV66">
        <v>108.63069152832</v>
      </c>
      <c r="AW66">
        <v>107.267608642578</v>
      </c>
      <c r="AX66">
        <v>105.567909240723</v>
      </c>
      <c r="AY66">
        <v>104.78106689453099</v>
      </c>
      <c r="AZ66">
        <v>105.29653167724599</v>
      </c>
      <c r="BA66">
        <v>105.605628967285</v>
      </c>
      <c r="BB66">
        <v>105.557289123535</v>
      </c>
      <c r="BC66">
        <v>105.075889587402</v>
      </c>
      <c r="BD66">
        <v>105.213920593262</v>
      </c>
      <c r="BE66">
        <v>105.35862731933599</v>
      </c>
      <c r="BF66">
        <v>104.79189300537099</v>
      </c>
      <c r="BG66">
        <v>101.787551879883</v>
      </c>
      <c r="BH66">
        <v>100.99765014648401</v>
      </c>
      <c r="BI66">
        <v>100.81974029541</v>
      </c>
      <c r="BJ66">
        <v>100.619926452637</v>
      </c>
      <c r="BK66">
        <v>100.11940002441401</v>
      </c>
      <c r="BL66">
        <v>99.757926940917997</v>
      </c>
      <c r="BM66">
        <v>99.977851867675795</v>
      </c>
      <c r="BN66">
        <v>99.921966552734403</v>
      </c>
      <c r="BO66">
        <v>100.10270690918</v>
      </c>
      <c r="BP66">
        <v>99.336029052734403</v>
      </c>
      <c r="BQ66">
        <v>99.974800109863295</v>
      </c>
    </row>
    <row r="67" spans="1:70" x14ac:dyDescent="0.3">
      <c r="A67" t="s">
        <v>558</v>
      </c>
      <c r="B67" t="s">
        <v>559</v>
      </c>
      <c r="C67" t="s">
        <v>544</v>
      </c>
      <c r="D67" t="s">
        <v>545</v>
      </c>
      <c r="O67">
        <v>89.828376770019503</v>
      </c>
      <c r="P67">
        <v>61.552360534667997</v>
      </c>
      <c r="Q67">
        <v>63.466300964355497</v>
      </c>
      <c r="R67">
        <v>66.040481567382798</v>
      </c>
      <c r="S67">
        <v>66.883827209472699</v>
      </c>
      <c r="T67">
        <v>68.624702453613295</v>
      </c>
      <c r="U67">
        <v>69.8839111328125</v>
      </c>
      <c r="V67">
        <v>71.857437133789105</v>
      </c>
      <c r="W67">
        <v>71.808792114257798</v>
      </c>
      <c r="X67">
        <v>72.136688232421903</v>
      </c>
      <c r="Y67">
        <v>75.600326538085895</v>
      </c>
      <c r="Z67">
        <v>76.913681030273395</v>
      </c>
      <c r="AA67">
        <v>79.718368530273395</v>
      </c>
      <c r="AB67">
        <v>81.599021911621094</v>
      </c>
      <c r="AC67">
        <v>83.421249389648395</v>
      </c>
      <c r="AD67">
        <v>84.264099121093807</v>
      </c>
      <c r="AE67">
        <v>84.867042541503906</v>
      </c>
      <c r="AF67">
        <v>85.347198486328097</v>
      </c>
      <c r="AG67">
        <v>87.257499694824205</v>
      </c>
      <c r="AH67">
        <v>89.070556640625</v>
      </c>
      <c r="AI67">
        <v>89.294349670410199</v>
      </c>
      <c r="AJ67">
        <v>90.084678649902301</v>
      </c>
      <c r="AK67">
        <v>90.797058105468807</v>
      </c>
      <c r="AL67">
        <v>92.141639709472699</v>
      </c>
      <c r="AM67">
        <v>93.516143798828097</v>
      </c>
      <c r="AN67">
        <v>93.578437805175795</v>
      </c>
      <c r="AO67">
        <v>94.568717956542997</v>
      </c>
      <c r="AP67">
        <v>94.579498291015597</v>
      </c>
      <c r="AQ67">
        <v>94.899978637695298</v>
      </c>
      <c r="AR67">
        <v>95.521766662597699</v>
      </c>
      <c r="AS67">
        <v>96.526290893554702</v>
      </c>
      <c r="AT67">
        <v>96.090270996093807</v>
      </c>
      <c r="AU67">
        <v>96.843391418457003</v>
      </c>
      <c r="AV67">
        <v>100.159210205078</v>
      </c>
      <c r="AW67">
        <v>101.33570861816401</v>
      </c>
      <c r="AX67">
        <v>102.473022460938</v>
      </c>
      <c r="AY67">
        <v>103.200523376465</v>
      </c>
      <c r="AZ67">
        <v>104.73419952392599</v>
      </c>
      <c r="BA67">
        <v>104.850952148438</v>
      </c>
      <c r="BB67">
        <v>104.83860778808599</v>
      </c>
      <c r="BC67">
        <v>105.18727111816401</v>
      </c>
      <c r="BD67">
        <v>104.82745361328099</v>
      </c>
      <c r="BE67">
        <v>105.739212036133</v>
      </c>
      <c r="BF67">
        <v>105.73329925537099</v>
      </c>
      <c r="BG67">
        <v>104.586067199707</v>
      </c>
      <c r="BH67">
        <v>104.654136657715</v>
      </c>
      <c r="BI67">
        <v>106.965682983398</v>
      </c>
      <c r="BJ67">
        <v>105.84873199462901</v>
      </c>
      <c r="BK67">
        <v>100.035118103027</v>
      </c>
      <c r="BL67">
        <v>99.836189270019503</v>
      </c>
      <c r="BM67">
        <v>100.67162322998</v>
      </c>
      <c r="BN67">
        <v>100.34375</v>
      </c>
      <c r="BO67">
        <v>102.033882141113</v>
      </c>
      <c r="BP67">
        <v>102.74578857421901</v>
      </c>
      <c r="BQ67">
        <v>105.64234924316401</v>
      </c>
    </row>
    <row r="68" spans="1:70" x14ac:dyDescent="0.3">
      <c r="A68" t="s">
        <v>17</v>
      </c>
      <c r="B68" t="s">
        <v>560</v>
      </c>
      <c r="C68" t="s">
        <v>544</v>
      </c>
      <c r="D68" t="s">
        <v>545</v>
      </c>
      <c r="O68">
        <v>109.76886749267599</v>
      </c>
      <c r="P68">
        <v>107.59352874755901</v>
      </c>
      <c r="Q68">
        <v>104.866401672363</v>
      </c>
      <c r="R68">
        <v>105.704917907715</v>
      </c>
      <c r="S68">
        <v>104.57102966308599</v>
      </c>
      <c r="T68">
        <v>109.062049865723</v>
      </c>
      <c r="U68">
        <v>113.10578155517599</v>
      </c>
      <c r="V68">
        <v>112.455528259277</v>
      </c>
      <c r="W68">
        <v>110.40396118164099</v>
      </c>
      <c r="X68">
        <v>110.113876342773</v>
      </c>
      <c r="Y68">
        <v>110.341987609863</v>
      </c>
      <c r="Z68">
        <v>112.30966186523401</v>
      </c>
      <c r="AA68">
        <v>113.73390960693401</v>
      </c>
      <c r="AB68">
        <v>116.02467346191401</v>
      </c>
      <c r="AC68">
        <v>117.88694763183599</v>
      </c>
      <c r="AD68">
        <v>121.97409820556599</v>
      </c>
      <c r="AE68">
        <v>124.479248046875</v>
      </c>
      <c r="AF68">
        <v>125.60630035400401</v>
      </c>
      <c r="AG68">
        <v>123.682899475098</v>
      </c>
      <c r="AH68">
        <v>120.892860412598</v>
      </c>
      <c r="AI68">
        <v>116.245971679688</v>
      </c>
      <c r="AJ68">
        <v>114.188041687012</v>
      </c>
      <c r="AK68">
        <v>112.36020660400401</v>
      </c>
      <c r="AL68">
        <v>110.94020080566401</v>
      </c>
      <c r="AM68">
        <v>110.039176940918</v>
      </c>
      <c r="AN68">
        <v>109.973770141602</v>
      </c>
      <c r="AO68">
        <v>109.11595153808599</v>
      </c>
      <c r="AP68">
        <v>108.705673217773</v>
      </c>
      <c r="AQ68">
        <v>108.379959106445</v>
      </c>
      <c r="AR68">
        <v>109.71002197265599</v>
      </c>
      <c r="AS68">
        <v>110.22402954101599</v>
      </c>
      <c r="AT68">
        <v>110.92357635498</v>
      </c>
      <c r="AU68">
        <v>109.465171813965</v>
      </c>
      <c r="AV68">
        <v>108.066650390625</v>
      </c>
      <c r="AW68">
        <v>106.849769592285</v>
      </c>
      <c r="AX68">
        <v>105.281303405762</v>
      </c>
      <c r="AY68">
        <v>104.555038452148</v>
      </c>
      <c r="AZ68">
        <v>105.07118988037099</v>
      </c>
      <c r="BA68">
        <v>105.375160217285</v>
      </c>
      <c r="BB68">
        <v>105.32967376709</v>
      </c>
      <c r="BC68">
        <v>104.872680664062</v>
      </c>
      <c r="BD68">
        <v>105.00399780273401</v>
      </c>
      <c r="BE68">
        <v>105.154861450195</v>
      </c>
      <c r="BF68">
        <v>104.620399475098</v>
      </c>
      <c r="BG68">
        <v>101.81568145752</v>
      </c>
      <c r="BH68">
        <v>101.04547882080099</v>
      </c>
      <c r="BI68">
        <v>100.860946655273</v>
      </c>
      <c r="BJ68">
        <v>100.652389526367</v>
      </c>
      <c r="BK68">
        <v>100.173690795898</v>
      </c>
      <c r="BL68">
        <v>99.861618041992202</v>
      </c>
      <c r="BM68">
        <v>100.06159210205099</v>
      </c>
      <c r="BN68">
        <v>99.983192443847699</v>
      </c>
      <c r="BO68">
        <v>100.135848999023</v>
      </c>
      <c r="BP68">
        <v>99.450111389160199</v>
      </c>
      <c r="BQ68">
        <v>100.047248840332</v>
      </c>
    </row>
    <row r="69" spans="1:70" x14ac:dyDescent="0.3">
      <c r="A69" t="s">
        <v>561</v>
      </c>
      <c r="B69" t="s">
        <v>562</v>
      </c>
      <c r="C69" t="s">
        <v>544</v>
      </c>
      <c r="D69" t="s">
        <v>545</v>
      </c>
      <c r="AR69">
        <v>104.817520141602</v>
      </c>
      <c r="AS69">
        <v>103.89694976806599</v>
      </c>
      <c r="AT69">
        <v>105.22898864746099</v>
      </c>
      <c r="AU69">
        <v>105.925918579102</v>
      </c>
      <c r="AV69">
        <v>101.24298095703099</v>
      </c>
      <c r="AW69">
        <v>101.337051391602</v>
      </c>
      <c r="AX69">
        <v>102.54532623291</v>
      </c>
      <c r="AY69">
        <v>101.878936767578</v>
      </c>
      <c r="AZ69">
        <v>102.04753112793</v>
      </c>
      <c r="BA69">
        <v>100.993759155273</v>
      </c>
      <c r="BB69">
        <v>100.38215637207</v>
      </c>
      <c r="BC69">
        <v>100.901863098145</v>
      </c>
      <c r="BD69">
        <v>101.120239257812</v>
      </c>
      <c r="BE69">
        <v>100.12673187255901</v>
      </c>
      <c r="BF69">
        <v>103.205513000488</v>
      </c>
      <c r="BG69">
        <v>102.54174041748</v>
      </c>
      <c r="BH69">
        <v>99.976951599121094</v>
      </c>
      <c r="BI69">
        <v>99.375793457031193</v>
      </c>
      <c r="BJ69">
        <v>97.020790100097699</v>
      </c>
      <c r="BK69">
        <v>98.02734375</v>
      </c>
      <c r="BL69">
        <v>99.280662536621094</v>
      </c>
      <c r="BM69">
        <v>99.000091552734403</v>
      </c>
      <c r="BN69">
        <v>98.5894775390625</v>
      </c>
      <c r="BO69">
        <v>98.047042846679702</v>
      </c>
      <c r="BP69">
        <v>97.1202392578125</v>
      </c>
      <c r="BQ69">
        <v>96.678749084472699</v>
      </c>
    </row>
    <row r="70" spans="1:70" x14ac:dyDescent="0.3">
      <c r="A70" t="s">
        <v>18</v>
      </c>
      <c r="B70" t="s">
        <v>563</v>
      </c>
      <c r="C70" t="s">
        <v>544</v>
      </c>
      <c r="D70" t="s">
        <v>545</v>
      </c>
      <c r="AR70">
        <v>106.35137939453099</v>
      </c>
      <c r="AS70">
        <v>104.00119781494099</v>
      </c>
      <c r="AT70">
        <v>104.970207214355</v>
      </c>
      <c r="AU70">
        <v>105.54026794433599</v>
      </c>
      <c r="AV70">
        <v>104.29376983642599</v>
      </c>
      <c r="AW70">
        <v>103.689987182617</v>
      </c>
      <c r="AX70">
        <v>102.640342712402</v>
      </c>
      <c r="AY70">
        <v>102.209281921387</v>
      </c>
      <c r="AZ70">
        <v>101.99276733398401</v>
      </c>
      <c r="BA70">
        <v>101.62899017334</v>
      </c>
      <c r="BB70">
        <v>101.233612060547</v>
      </c>
      <c r="BC70">
        <v>101.27474975585901</v>
      </c>
      <c r="BD70">
        <v>101.192428588867</v>
      </c>
      <c r="BE70">
        <v>101.02329254150401</v>
      </c>
      <c r="BF70">
        <v>102.128631591797</v>
      </c>
      <c r="BG70">
        <v>101.195068359375</v>
      </c>
      <c r="BH70">
        <v>100.50414276123</v>
      </c>
      <c r="BI70">
        <v>100.15200805664099</v>
      </c>
      <c r="BJ70">
        <v>99.992050170898395</v>
      </c>
      <c r="BK70">
        <v>100.49089050293</v>
      </c>
      <c r="BL70">
        <v>100.92504119873</v>
      </c>
      <c r="BM70">
        <v>100.668319702148</v>
      </c>
      <c r="BN70">
        <v>100.687881469727</v>
      </c>
      <c r="BO70">
        <v>100.42694091796901</v>
      </c>
      <c r="BP70">
        <v>100.080513000488</v>
      </c>
      <c r="BQ70">
        <v>99.941459655761705</v>
      </c>
    </row>
    <row r="71" spans="1:70" x14ac:dyDescent="0.3">
      <c r="A71" t="s">
        <v>95</v>
      </c>
      <c r="B71" t="s">
        <v>313</v>
      </c>
      <c r="C71" t="s">
        <v>544</v>
      </c>
      <c r="D71" t="s">
        <v>545</v>
      </c>
      <c r="AS71">
        <v>107.41168975830099</v>
      </c>
      <c r="AT71">
        <v>108.008460998535</v>
      </c>
      <c r="AU71">
        <v>108.658729553223</v>
      </c>
      <c r="AV71">
        <v>108.234580993652</v>
      </c>
      <c r="AW71">
        <v>107.82350921630901</v>
      </c>
      <c r="AX71">
        <v>107.85124969482401</v>
      </c>
      <c r="AY71">
        <v>108.028701782227</v>
      </c>
      <c r="AZ71">
        <v>109.574661254883</v>
      </c>
      <c r="BA71">
        <v>107.73561096191401</v>
      </c>
      <c r="BB71">
        <v>112.422248840332</v>
      </c>
      <c r="BC71">
        <v>108.529831519835</v>
      </c>
      <c r="BD71">
        <v>108.222664680389</v>
      </c>
      <c r="BE71">
        <v>105.65793019551199</v>
      </c>
      <c r="BF71">
        <v>104.495253899633</v>
      </c>
      <c r="BG71">
        <v>105.59687272731</v>
      </c>
      <c r="BH71">
        <v>101.055189173942</v>
      </c>
      <c r="BI71">
        <v>98.960813930117993</v>
      </c>
      <c r="BJ71">
        <v>98.186187219901598</v>
      </c>
      <c r="BK71">
        <v>98.882823435927193</v>
      </c>
      <c r="BL71">
        <v>98.315978220508299</v>
      </c>
      <c r="BM71">
        <v>98.116382378770794</v>
      </c>
      <c r="BN71">
        <v>98.175759728458502</v>
      </c>
      <c r="BO71">
        <v>99.568014160285401</v>
      </c>
      <c r="BP71">
        <v>97.249009723611493</v>
      </c>
    </row>
    <row r="72" spans="1:70" x14ac:dyDescent="0.3">
      <c r="A72" t="s">
        <v>96</v>
      </c>
      <c r="B72" t="s">
        <v>314</v>
      </c>
      <c r="C72" t="s">
        <v>544</v>
      </c>
      <c r="D72" t="s">
        <v>545</v>
      </c>
      <c r="P72">
        <v>69.771278381347699</v>
      </c>
      <c r="Q72">
        <v>70.847709655761705</v>
      </c>
      <c r="R72">
        <v>71.530998229980497</v>
      </c>
      <c r="S72">
        <v>69.111679077148395</v>
      </c>
      <c r="T72">
        <v>70.341590881347699</v>
      </c>
      <c r="U72">
        <v>69.476356506347699</v>
      </c>
      <c r="V72">
        <v>68.564582824707003</v>
      </c>
      <c r="W72">
        <v>68.016578674316406</v>
      </c>
      <c r="X72">
        <v>67.610160827636705</v>
      </c>
      <c r="Y72">
        <v>68.361122131347699</v>
      </c>
      <c r="Z72">
        <v>68.380928039550795</v>
      </c>
      <c r="AA72">
        <v>69.462547302246094</v>
      </c>
      <c r="AB72">
        <v>71.530738830566406</v>
      </c>
      <c r="AC72">
        <v>73.679450988769503</v>
      </c>
      <c r="AD72">
        <v>75.806549072265597</v>
      </c>
      <c r="AE72">
        <v>77.767082214355497</v>
      </c>
      <c r="AF72">
        <v>80.101676940917997</v>
      </c>
      <c r="AG72">
        <v>82.686126708984403</v>
      </c>
      <c r="AH72">
        <v>83.760612487792997</v>
      </c>
      <c r="AI72">
        <v>85.935630798339801</v>
      </c>
      <c r="AJ72">
        <v>88.249549865722699</v>
      </c>
      <c r="AK72">
        <v>80.550559997558594</v>
      </c>
      <c r="AL72">
        <v>81.360939025878906</v>
      </c>
      <c r="AM72">
        <v>90.481872558593807</v>
      </c>
      <c r="AN72">
        <v>83.934288024902301</v>
      </c>
      <c r="AO72">
        <v>92.568992614746094</v>
      </c>
      <c r="AP72">
        <v>92.383728027343807</v>
      </c>
      <c r="AR72">
        <v>90.185081481933594</v>
      </c>
      <c r="AS72">
        <v>89.098426818847699</v>
      </c>
      <c r="AT72">
        <v>88.5933837890625</v>
      </c>
      <c r="AU72">
        <v>88.993049621582003</v>
      </c>
      <c r="AV72">
        <v>89.300949096679702</v>
      </c>
      <c r="AW72">
        <v>89.380180358886705</v>
      </c>
      <c r="AX72">
        <v>89.011161804199205</v>
      </c>
      <c r="AY72">
        <v>90.012840270996094</v>
      </c>
      <c r="AZ72">
        <v>90.524147033691406</v>
      </c>
      <c r="BB72">
        <v>91.209648132324205</v>
      </c>
      <c r="BC72">
        <v>90.947758878422704</v>
      </c>
      <c r="BD72">
        <v>87.469737936966993</v>
      </c>
      <c r="BE72">
        <v>91.860163281481206</v>
      </c>
      <c r="BF72">
        <v>91.581965059684904</v>
      </c>
      <c r="BG72">
        <v>89.187406518948194</v>
      </c>
      <c r="BI72">
        <v>90.113048761299893</v>
      </c>
      <c r="BJ72">
        <v>90.651512527204403</v>
      </c>
      <c r="BK72">
        <v>92.690906608953199</v>
      </c>
      <c r="BL72">
        <v>94.250085403916501</v>
      </c>
      <c r="BM72">
        <v>95.643301216423296</v>
      </c>
      <c r="BN72">
        <v>97.001058350422198</v>
      </c>
      <c r="BO72">
        <v>89.510087034028501</v>
      </c>
      <c r="BP72">
        <v>95.921706939380101</v>
      </c>
      <c r="BQ72">
        <v>96.707386302452207</v>
      </c>
    </row>
    <row r="73" spans="1:70" x14ac:dyDescent="0.3">
      <c r="A73" t="s">
        <v>564</v>
      </c>
      <c r="B73" t="s">
        <v>565</v>
      </c>
      <c r="C73" t="s">
        <v>544</v>
      </c>
      <c r="D73" t="s">
        <v>545</v>
      </c>
      <c r="AR73">
        <v>105.11692047119099</v>
      </c>
      <c r="AS73">
        <v>103.694633483887</v>
      </c>
      <c r="AT73">
        <v>103.89939117431599</v>
      </c>
      <c r="AU73">
        <v>103.35308837890599</v>
      </c>
      <c r="AV73">
        <v>103.33203125</v>
      </c>
      <c r="AW73">
        <v>103.387893676758</v>
      </c>
      <c r="AX73">
        <v>104.27056884765599</v>
      </c>
      <c r="AY73">
        <v>104.140098571777</v>
      </c>
      <c r="AZ73">
        <v>103.958572387695</v>
      </c>
      <c r="BA73">
        <v>103.675003051758</v>
      </c>
      <c r="BB73">
        <v>103.118118286133</v>
      </c>
      <c r="BC73">
        <v>102.68235015869099</v>
      </c>
      <c r="BD73">
        <v>102.46087646484401</v>
      </c>
      <c r="BE73">
        <v>102.17266845703099</v>
      </c>
      <c r="BF73">
        <v>102.65146636962901</v>
      </c>
      <c r="BG73">
        <v>101.97711944580099</v>
      </c>
      <c r="BH73">
        <v>101.96607208252</v>
      </c>
      <c r="BI73">
        <v>101.62654876709</v>
      </c>
      <c r="BJ73">
        <v>102.20188140869099</v>
      </c>
      <c r="BK73">
        <v>102.32318115234401</v>
      </c>
      <c r="BL73">
        <v>102.415031433105</v>
      </c>
      <c r="BM73">
        <v>102.390007019043</v>
      </c>
      <c r="BN73">
        <v>101.872436523438</v>
      </c>
      <c r="BO73">
        <v>101.88722229003901</v>
      </c>
      <c r="BP73">
        <v>102.890296936035</v>
      </c>
      <c r="BQ73">
        <v>102.890296936035</v>
      </c>
    </row>
    <row r="74" spans="1:70" x14ac:dyDescent="0.3">
      <c r="A74" t="s">
        <v>99</v>
      </c>
      <c r="B74" t="s">
        <v>317</v>
      </c>
      <c r="C74" t="s">
        <v>544</v>
      </c>
      <c r="D74" t="s">
        <v>545</v>
      </c>
      <c r="AH74">
        <v>40.902828216552699</v>
      </c>
      <c r="AI74">
        <v>36.243721008300803</v>
      </c>
      <c r="AJ74">
        <v>33.617259979247997</v>
      </c>
      <c r="AK74">
        <v>64.288360595703097</v>
      </c>
      <c r="AL74">
        <v>76.819168090820298</v>
      </c>
      <c r="AM74">
        <v>83.073867797851605</v>
      </c>
      <c r="AN74">
        <v>86.223442077636705</v>
      </c>
      <c r="AO74">
        <v>87.833572387695298</v>
      </c>
      <c r="AP74">
        <v>84.162887573242202</v>
      </c>
      <c r="AR74">
        <v>86.28955078125</v>
      </c>
      <c r="AS74">
        <v>95.337821960449205</v>
      </c>
      <c r="AT74">
        <v>94.526062011718807</v>
      </c>
      <c r="AU74">
        <v>101.33184814453099</v>
      </c>
      <c r="AV74">
        <v>107.540420532227</v>
      </c>
      <c r="AW74">
        <v>106.525672912598</v>
      </c>
      <c r="AX74">
        <v>103.574653625488</v>
      </c>
      <c r="AY74">
        <v>97.037178039550795</v>
      </c>
      <c r="AZ74">
        <v>87.202903747558594</v>
      </c>
      <c r="BA74">
        <v>81.1434326171875</v>
      </c>
      <c r="BB74">
        <v>77.921180725097699</v>
      </c>
      <c r="BC74">
        <v>73.636848449707003</v>
      </c>
      <c r="BD74">
        <v>79.17431640625</v>
      </c>
      <c r="BE74">
        <v>82.643898010253906</v>
      </c>
      <c r="BF74">
        <v>92.676551818847699</v>
      </c>
      <c r="BG74">
        <v>83.275146484375</v>
      </c>
      <c r="BH74">
        <v>82.366950988769503</v>
      </c>
      <c r="BJ74">
        <v>78.349472045898395</v>
      </c>
      <c r="BK74">
        <v>78.791648864746094</v>
      </c>
      <c r="BO74">
        <v>89.731246948242202</v>
      </c>
    </row>
    <row r="75" spans="1:70" x14ac:dyDescent="0.3">
      <c r="A75" t="s">
        <v>215</v>
      </c>
      <c r="B75" t="s">
        <v>437</v>
      </c>
      <c r="C75" t="s">
        <v>544</v>
      </c>
      <c r="D75" t="s">
        <v>545</v>
      </c>
      <c r="AS75">
        <v>104.22451019287099</v>
      </c>
      <c r="AT75">
        <v>104.56308746337901</v>
      </c>
      <c r="AU75">
        <v>105.45085906982401</v>
      </c>
      <c r="AV75">
        <v>105.15834808349599</v>
      </c>
      <c r="AW75">
        <v>105.000923156738</v>
      </c>
      <c r="AX75">
        <v>104.357879638672</v>
      </c>
      <c r="AY75">
        <v>103.610877990723</v>
      </c>
      <c r="AZ75">
        <v>103.025680541992</v>
      </c>
      <c r="BA75">
        <v>102.449981689453</v>
      </c>
      <c r="BB75">
        <v>102.09571838378901</v>
      </c>
      <c r="BC75">
        <v>101.211227416992</v>
      </c>
      <c r="BD75">
        <v>100.813041687012</v>
      </c>
      <c r="BE75">
        <v>100.473442077637</v>
      </c>
      <c r="BF75">
        <v>103.107582092285</v>
      </c>
      <c r="BG75">
        <v>102.538467407227</v>
      </c>
      <c r="BH75">
        <v>102.144233703613</v>
      </c>
      <c r="BI75">
        <v>102.130096435547</v>
      </c>
      <c r="BJ75">
        <v>102.50511932373</v>
      </c>
      <c r="BK75">
        <v>102.638717651367</v>
      </c>
      <c r="BL75">
        <v>103.18531799316401</v>
      </c>
      <c r="BM75">
        <v>103.41042327880901</v>
      </c>
      <c r="BN75">
        <v>102.899139404297</v>
      </c>
      <c r="BO75">
        <v>102.445991516113</v>
      </c>
      <c r="BP75">
        <v>103.002769470215</v>
      </c>
    </row>
    <row r="76" spans="1:70" x14ac:dyDescent="0.3">
      <c r="A76" t="s">
        <v>100</v>
      </c>
      <c r="B76" t="s">
        <v>318</v>
      </c>
      <c r="C76" t="s">
        <v>544</v>
      </c>
      <c r="D76" t="s">
        <v>545</v>
      </c>
      <c r="AS76">
        <v>104.32495880127</v>
      </c>
      <c r="AT76">
        <v>105.54216003418</v>
      </c>
      <c r="AU76">
        <v>105.472816467285</v>
      </c>
      <c r="AV76">
        <v>105.65447235107401</v>
      </c>
      <c r="AW76">
        <v>104.811653137207</v>
      </c>
      <c r="AX76">
        <v>103.57064819335901</v>
      </c>
      <c r="AY76">
        <v>102.76177978515599</v>
      </c>
      <c r="AZ76">
        <v>101.679817199707</v>
      </c>
      <c r="BA76">
        <v>100.795516967773</v>
      </c>
      <c r="BB76">
        <v>100.181121826172</v>
      </c>
      <c r="BC76">
        <v>99.597267150878906</v>
      </c>
      <c r="BD76">
        <v>99.042839050292997</v>
      </c>
      <c r="BE76">
        <v>98.319610595703097</v>
      </c>
      <c r="BF76">
        <v>97.679519653320298</v>
      </c>
      <c r="BG76">
        <v>97.592262268066406</v>
      </c>
      <c r="BH76">
        <v>97.119148254394503</v>
      </c>
      <c r="BI76">
        <v>97.292343139648395</v>
      </c>
      <c r="BJ76">
        <v>97.250053405761705</v>
      </c>
      <c r="BK76">
        <v>97.455947875976605</v>
      </c>
      <c r="BL76">
        <v>98.157722473144503</v>
      </c>
      <c r="BM76">
        <v>98.346672058105497</v>
      </c>
      <c r="BN76">
        <v>98.814666748046903</v>
      </c>
      <c r="BO76">
        <v>99.263816833496094</v>
      </c>
      <c r="BP76">
        <v>98.338157653808594</v>
      </c>
    </row>
    <row r="77" spans="1:70" x14ac:dyDescent="0.3">
      <c r="A77" t="s">
        <v>102</v>
      </c>
      <c r="B77" t="s">
        <v>320</v>
      </c>
      <c r="C77" t="s">
        <v>544</v>
      </c>
      <c r="D77" t="s">
        <v>545</v>
      </c>
      <c r="P77">
        <v>15.2087097167969</v>
      </c>
      <c r="Q77">
        <v>15.978079795837401</v>
      </c>
      <c r="R77">
        <v>16.421789169311499</v>
      </c>
      <c r="S77">
        <v>17.888019561767599</v>
      </c>
      <c r="T77">
        <v>19.3024501800537</v>
      </c>
      <c r="U77">
        <v>21.125749588012699</v>
      </c>
      <c r="V77">
        <v>22.2164802551269</v>
      </c>
      <c r="W77">
        <v>21.264850616455099</v>
      </c>
      <c r="X77">
        <v>25.036979675293001</v>
      </c>
      <c r="Y77">
        <v>32.682430267333999</v>
      </c>
      <c r="Z77">
        <v>38.455448150634801</v>
      </c>
      <c r="AA77">
        <v>40.991020202636697</v>
      </c>
      <c r="AB77">
        <v>42.060020446777301</v>
      </c>
      <c r="AC77">
        <v>40.632228851318402</v>
      </c>
      <c r="AD77">
        <v>38.002819061279297</v>
      </c>
      <c r="AE77">
        <v>37.384571075439503</v>
      </c>
      <c r="AF77">
        <v>40.381889343261697</v>
      </c>
      <c r="AG77">
        <v>41.029048919677699</v>
      </c>
      <c r="AH77">
        <v>39.284259796142599</v>
      </c>
      <c r="AI77">
        <v>35.663219451904297</v>
      </c>
      <c r="AJ77">
        <v>32.24951171875</v>
      </c>
      <c r="AK77">
        <v>26.060850143432599</v>
      </c>
      <c r="AL77">
        <v>22.707290649414102</v>
      </c>
      <c r="AM77">
        <v>26.9080104827881</v>
      </c>
      <c r="AN77">
        <v>30.682279586791999</v>
      </c>
      <c r="AO77">
        <v>36.345470428466797</v>
      </c>
      <c r="AP77">
        <v>41.017169952392599</v>
      </c>
      <c r="AQ77">
        <v>49.688640594482401</v>
      </c>
      <c r="AR77">
        <v>48.195751190185497</v>
      </c>
      <c r="AS77">
        <v>52.238731384277301</v>
      </c>
      <c r="AT77">
        <v>57.130699157714801</v>
      </c>
      <c r="AU77">
        <v>59.604358673095703</v>
      </c>
      <c r="AV77">
        <v>60.702140808105497</v>
      </c>
      <c r="AW77">
        <v>63.565708160400398</v>
      </c>
      <c r="AX77">
        <v>74.509689331054702</v>
      </c>
      <c r="AY77">
        <v>79.232933044433594</v>
      </c>
      <c r="AZ77">
        <v>85.4697265625</v>
      </c>
      <c r="BA77">
        <v>91.453018188476605</v>
      </c>
      <c r="BB77">
        <v>90.341941833496094</v>
      </c>
      <c r="BC77">
        <v>88.511037030713993</v>
      </c>
      <c r="BD77">
        <v>90.628257751464801</v>
      </c>
      <c r="BE77">
        <v>89.925322107351704</v>
      </c>
      <c r="BG77">
        <v>93.114589006291297</v>
      </c>
      <c r="BH77">
        <v>94.0857534729235</v>
      </c>
      <c r="BJ77">
        <v>101.223991472845</v>
      </c>
      <c r="BM77">
        <v>112.6701710274</v>
      </c>
      <c r="BN77">
        <v>101.338920969252</v>
      </c>
      <c r="BO77">
        <v>84.631773397134495</v>
      </c>
      <c r="BP77">
        <v>83.731974588161805</v>
      </c>
      <c r="BQ77">
        <v>84.416010208298403</v>
      </c>
    </row>
    <row r="78" spans="1:70" x14ac:dyDescent="0.3">
      <c r="A78" t="s">
        <v>566</v>
      </c>
      <c r="B78" t="s">
        <v>567</v>
      </c>
      <c r="C78" t="s">
        <v>544</v>
      </c>
      <c r="D78" t="s">
        <v>545</v>
      </c>
      <c r="AR78">
        <v>105.164268493652</v>
      </c>
      <c r="AS78">
        <v>103.28311157226599</v>
      </c>
      <c r="AT78">
        <v>103.542198181152</v>
      </c>
      <c r="AU78">
        <v>103.24179077148401</v>
      </c>
      <c r="AV78">
        <v>103.14395904541</v>
      </c>
      <c r="AW78">
        <v>103.018440246582</v>
      </c>
      <c r="AX78">
        <v>103.52172088623</v>
      </c>
      <c r="AY78">
        <v>103.35207366943401</v>
      </c>
      <c r="AZ78">
        <v>103.081672668457</v>
      </c>
      <c r="BA78">
        <v>102.696670532227</v>
      </c>
      <c r="BB78">
        <v>102.29250335693401</v>
      </c>
      <c r="BC78">
        <v>101.96526336669901</v>
      </c>
      <c r="BD78">
        <v>101.75576782226599</v>
      </c>
      <c r="BE78">
        <v>101.635932922363</v>
      </c>
      <c r="BF78">
        <v>102.24144744873</v>
      </c>
      <c r="BG78">
        <v>101.565223693848</v>
      </c>
      <c r="BH78">
        <v>101.410186767578</v>
      </c>
      <c r="BI78">
        <v>101.038848876953</v>
      </c>
      <c r="BJ78">
        <v>101.44093322753901</v>
      </c>
      <c r="BK78">
        <v>101.43122100830099</v>
      </c>
      <c r="BL78">
        <v>101.53858947753901</v>
      </c>
      <c r="BM78">
        <v>100.82952880859401</v>
      </c>
      <c r="BN78">
        <v>101.443717956543</v>
      </c>
      <c r="BO78">
        <v>101.426223754883</v>
      </c>
      <c r="BP78">
        <v>102.43939208984401</v>
      </c>
      <c r="BQ78">
        <v>102.43939208984401</v>
      </c>
    </row>
    <row r="79" spans="1:70" x14ac:dyDescent="0.3">
      <c r="A79" t="s">
        <v>568</v>
      </c>
      <c r="B79" t="s">
        <v>569</v>
      </c>
      <c r="C79" t="s">
        <v>544</v>
      </c>
      <c r="D79" t="s">
        <v>545</v>
      </c>
      <c r="O79">
        <v>57.792728424072301</v>
      </c>
      <c r="P79">
        <v>59.026168823242202</v>
      </c>
      <c r="Q79">
        <v>59.821910858154297</v>
      </c>
      <c r="R79">
        <v>60.682918548583999</v>
      </c>
      <c r="S79">
        <v>60.899978637695298</v>
      </c>
      <c r="T79">
        <v>61.261650085449197</v>
      </c>
      <c r="U79">
        <v>62.616531372070298</v>
      </c>
      <c r="V79">
        <v>65.618858337402301</v>
      </c>
      <c r="W79">
        <v>69.141410827636705</v>
      </c>
      <c r="X79">
        <v>73.335586547851605</v>
      </c>
      <c r="Y79">
        <v>76.500930786132798</v>
      </c>
      <c r="Z79">
        <v>79.862030029296903</v>
      </c>
      <c r="AA79">
        <v>81.866622924804702</v>
      </c>
      <c r="AB79">
        <v>82.323661804199205</v>
      </c>
      <c r="AC79">
        <v>82.417709350585895</v>
      </c>
      <c r="AD79">
        <v>80.363037109375</v>
      </c>
      <c r="AE79">
        <v>77.778663635253906</v>
      </c>
      <c r="AF79">
        <v>75.916320800781193</v>
      </c>
      <c r="AG79">
        <v>75.642990112304702</v>
      </c>
      <c r="AH79">
        <v>73.450180053710895</v>
      </c>
      <c r="AI79">
        <v>73.033119201660199</v>
      </c>
      <c r="AJ79">
        <v>75.066047668457003</v>
      </c>
      <c r="AK79">
        <v>74.9957275390625</v>
      </c>
      <c r="AL79">
        <v>75.501380920410199</v>
      </c>
      <c r="AM79">
        <v>75.717437744140597</v>
      </c>
      <c r="AN79">
        <v>74.059562683105497</v>
      </c>
      <c r="AO79">
        <v>71.034523010253906</v>
      </c>
      <c r="AP79">
        <v>72.470359802246094</v>
      </c>
      <c r="AQ79">
        <v>73.799209594726605</v>
      </c>
      <c r="AR79">
        <v>73.247817993164105</v>
      </c>
      <c r="AS79">
        <v>75.118621826171903</v>
      </c>
      <c r="AT79">
        <v>76.673316955566406</v>
      </c>
      <c r="AU79">
        <v>79.907089233398395</v>
      </c>
      <c r="AV79">
        <v>81.644508361816406</v>
      </c>
      <c r="AW79">
        <v>83.7969970703125</v>
      </c>
      <c r="AX79">
        <v>86.283699035644503</v>
      </c>
      <c r="AY79">
        <v>88.158241271972699</v>
      </c>
      <c r="AZ79">
        <v>88.082908630371094</v>
      </c>
      <c r="BA79">
        <v>88.671600341796903</v>
      </c>
      <c r="BB79">
        <v>89.006141662597699</v>
      </c>
      <c r="BC79">
        <v>89.332839965820298</v>
      </c>
      <c r="BD79">
        <v>91.225959777832003</v>
      </c>
      <c r="BE79">
        <v>92.506530761718807</v>
      </c>
      <c r="BF79">
        <v>92.801498413085895</v>
      </c>
      <c r="BG79">
        <v>92.290092468261705</v>
      </c>
      <c r="BH79">
        <v>90.638420104980497</v>
      </c>
      <c r="BI79">
        <v>91.244842529296903</v>
      </c>
      <c r="BJ79">
        <v>92.016860961914105</v>
      </c>
      <c r="BK79">
        <v>93.211570739746094</v>
      </c>
      <c r="BL79">
        <v>94.343078613281193</v>
      </c>
      <c r="BM79">
        <v>95.465232849121094</v>
      </c>
      <c r="BN79">
        <v>94.550651550292997</v>
      </c>
      <c r="BO79">
        <v>93.324760437011705</v>
      </c>
      <c r="BP79">
        <v>94.238136291503906</v>
      </c>
      <c r="BQ79">
        <v>94.275688171386705</v>
      </c>
    </row>
    <row r="80" spans="1:70" x14ac:dyDescent="0.3">
      <c r="A80" t="s">
        <v>105</v>
      </c>
      <c r="B80" t="s">
        <v>323</v>
      </c>
      <c r="C80" t="s">
        <v>544</v>
      </c>
      <c r="D80" t="s">
        <v>545</v>
      </c>
      <c r="AS80">
        <v>99.717086791992202</v>
      </c>
      <c r="AT80">
        <v>99.688591003417997</v>
      </c>
      <c r="AU80">
        <v>99.644767761230497</v>
      </c>
      <c r="AV80">
        <v>99.689567565917997</v>
      </c>
      <c r="AW80">
        <v>99.793426513671903</v>
      </c>
      <c r="AX80">
        <v>99.784111022949205</v>
      </c>
      <c r="AY80">
        <v>99.765953063964801</v>
      </c>
      <c r="AZ80">
        <v>99.662147521972699</v>
      </c>
      <c r="BA80">
        <v>99.719871520996094</v>
      </c>
      <c r="BB80">
        <v>99.664192199707003</v>
      </c>
      <c r="BC80">
        <v>99.688056945800795</v>
      </c>
      <c r="BD80">
        <v>99.785186767578097</v>
      </c>
      <c r="BE80">
        <v>99.707122802734403</v>
      </c>
      <c r="BF80">
        <v>99.691848754882798</v>
      </c>
      <c r="BG80">
        <v>99.661720275878906</v>
      </c>
      <c r="BH80">
        <v>99.567230224609403</v>
      </c>
      <c r="BI80">
        <v>99.508041381835895</v>
      </c>
      <c r="BJ80">
        <v>99.468208312988295</v>
      </c>
      <c r="BK80">
        <v>99.703201293945298</v>
      </c>
      <c r="BL80">
        <v>99.555747985839801</v>
      </c>
      <c r="BM80">
        <v>99.817581176757798</v>
      </c>
      <c r="BN80">
        <v>99.353630065917997</v>
      </c>
      <c r="BO80">
        <v>98.6190185546875</v>
      </c>
      <c r="BP80">
        <v>99.115173339843807</v>
      </c>
    </row>
    <row r="81" spans="1:70" x14ac:dyDescent="0.3">
      <c r="A81" t="s">
        <v>104</v>
      </c>
      <c r="B81" t="s">
        <v>322</v>
      </c>
      <c r="C81" t="s">
        <v>544</v>
      </c>
      <c r="D81" t="s">
        <v>545</v>
      </c>
      <c r="O81">
        <v>102.90041351318401</v>
      </c>
      <c r="P81">
        <v>104.666397094727</v>
      </c>
      <c r="Q81">
        <v>105.96063232421901</v>
      </c>
      <c r="R81">
        <v>108.075569152832</v>
      </c>
      <c r="S81">
        <v>108.09047698974599</v>
      </c>
      <c r="T81">
        <v>107.7216796875</v>
      </c>
      <c r="U81">
        <v>107.029663085938</v>
      </c>
      <c r="V81">
        <v>106.40167236328099</v>
      </c>
      <c r="W81">
        <v>105.92073059082</v>
      </c>
      <c r="X81">
        <v>104.410530090332</v>
      </c>
      <c r="Y81">
        <v>104.686492919922</v>
      </c>
      <c r="Z81">
        <v>105.392707824707</v>
      </c>
      <c r="AB81">
        <v>105.37270355224599</v>
      </c>
      <c r="AC81">
        <v>105.53694152832</v>
      </c>
      <c r="AD81">
        <v>105.72492218017599</v>
      </c>
      <c r="AE81">
        <v>104.840950012207</v>
      </c>
      <c r="AF81">
        <v>103.112983703613</v>
      </c>
      <c r="AJ81">
        <v>102.16114807128901</v>
      </c>
      <c r="AK81">
        <v>101.39060974121099</v>
      </c>
      <c r="AM81">
        <v>102.175086975098</v>
      </c>
      <c r="AN81">
        <v>100.856979370117</v>
      </c>
      <c r="AO81">
        <v>99.534446716308594</v>
      </c>
      <c r="AP81">
        <v>100.730522155762</v>
      </c>
      <c r="AQ81">
        <v>101.258666992188</v>
      </c>
      <c r="AR81">
        <v>100.99387359619099</v>
      </c>
      <c r="AS81">
        <v>100.26571655273401</v>
      </c>
      <c r="AT81">
        <v>101.23435211181599</v>
      </c>
      <c r="AU81">
        <v>100.66867828369099</v>
      </c>
      <c r="AV81">
        <v>100.217338562012</v>
      </c>
      <c r="AW81">
        <v>100.840873718262</v>
      </c>
      <c r="AY81">
        <v>98.807487487792997</v>
      </c>
      <c r="AZ81">
        <v>93.939826965332003</v>
      </c>
      <c r="BA81">
        <v>93.620071411132798</v>
      </c>
      <c r="BB81">
        <v>93.107772827148395</v>
      </c>
      <c r="BD81">
        <v>94.101486206054702</v>
      </c>
      <c r="BE81">
        <v>95.182441711425795</v>
      </c>
      <c r="BF81">
        <v>96.6247792169561</v>
      </c>
      <c r="BG81">
        <v>96.894290652692803</v>
      </c>
      <c r="BH81">
        <v>99.357681815278795</v>
      </c>
      <c r="BI81">
        <v>100.256688986124</v>
      </c>
      <c r="BJ81">
        <v>102.960840496657</v>
      </c>
      <c r="BK81">
        <v>106.22315202231501</v>
      </c>
      <c r="BL81">
        <v>114.912590026855</v>
      </c>
      <c r="BM81">
        <v>112.553329467773</v>
      </c>
      <c r="BN81">
        <v>114.93183377296</v>
      </c>
      <c r="BO81">
        <v>112.260294588848</v>
      </c>
      <c r="BP81">
        <v>111.93660947950001</v>
      </c>
      <c r="BQ81">
        <v>110.377230542693</v>
      </c>
    </row>
    <row r="82" spans="1:70" x14ac:dyDescent="0.3">
      <c r="A82" t="s">
        <v>106</v>
      </c>
      <c r="B82" t="s">
        <v>324</v>
      </c>
      <c r="C82" t="s">
        <v>544</v>
      </c>
      <c r="D82" t="s">
        <v>545</v>
      </c>
      <c r="AS82">
        <v>100.428260803223</v>
      </c>
      <c r="AT82">
        <v>100.382209777832</v>
      </c>
      <c r="AU82">
        <v>100.249298095703</v>
      </c>
      <c r="AV82">
        <v>99.975448608398395</v>
      </c>
      <c r="AW82">
        <v>99.811180114746094</v>
      </c>
      <c r="AX82">
        <v>104.63648986816401</v>
      </c>
      <c r="AY82">
        <v>104.278846740723</v>
      </c>
      <c r="AZ82">
        <v>103.85977935791</v>
      </c>
      <c r="BA82">
        <v>103.622146606445</v>
      </c>
      <c r="BB82">
        <v>103.041137695312</v>
      </c>
      <c r="BC82">
        <v>102.761512756348</v>
      </c>
      <c r="BD82">
        <v>102.69110107421901</v>
      </c>
      <c r="BE82">
        <v>102.523162841797</v>
      </c>
      <c r="BF82">
        <v>102.276443481445</v>
      </c>
      <c r="BG82">
        <v>101.280349731445</v>
      </c>
      <c r="BH82">
        <v>101.989639282227</v>
      </c>
      <c r="BI82">
        <v>102.26042938232401</v>
      </c>
      <c r="BJ82">
        <v>102.41722106933599</v>
      </c>
      <c r="BK82">
        <v>102.464408874512</v>
      </c>
      <c r="BL82">
        <v>102.447647094727</v>
      </c>
      <c r="BM82">
        <v>102.65162658691401</v>
      </c>
      <c r="BN82">
        <v>102.580406188965</v>
      </c>
      <c r="BO82">
        <v>102.70948791503901</v>
      </c>
      <c r="BP82">
        <v>103.26512145996099</v>
      </c>
    </row>
    <row r="83" spans="1:70" x14ac:dyDescent="0.3">
      <c r="A83" t="s">
        <v>103</v>
      </c>
      <c r="B83" t="s">
        <v>321</v>
      </c>
      <c r="C83" t="s">
        <v>544</v>
      </c>
      <c r="D83" t="s">
        <v>545</v>
      </c>
    </row>
    <row r="84" spans="1:70" x14ac:dyDescent="0.3">
      <c r="A84" t="s">
        <v>166</v>
      </c>
      <c r="B84" t="s">
        <v>384</v>
      </c>
      <c r="C84" t="s">
        <v>544</v>
      </c>
      <c r="D84" t="s">
        <v>545</v>
      </c>
      <c r="P84">
        <v>214.58926391601599</v>
      </c>
      <c r="Q84">
        <v>212.53335571289099</v>
      </c>
      <c r="R84">
        <v>214.64262390136699</v>
      </c>
      <c r="S84">
        <v>204.05429077148401</v>
      </c>
      <c r="T84">
        <v>197.89958190918</v>
      </c>
      <c r="U84">
        <v>191.34393310546901</v>
      </c>
      <c r="V84">
        <v>194.31782531738301</v>
      </c>
      <c r="W84">
        <v>190.78648376464801</v>
      </c>
      <c r="X84">
        <v>184.19378662109401</v>
      </c>
      <c r="AW84">
        <v>111.90838623046901</v>
      </c>
      <c r="AX84">
        <v>110.222869873047</v>
      </c>
      <c r="AZ84">
        <v>109.700736999512</v>
      </c>
      <c r="BF84">
        <v>95.031857635309095</v>
      </c>
      <c r="BG84">
        <v>97.314204006900894</v>
      </c>
      <c r="BH84">
        <v>93.5670535707402</v>
      </c>
      <c r="BI84">
        <v>94.077201843261705</v>
      </c>
      <c r="BJ84">
        <v>94.219260089731904</v>
      </c>
      <c r="BK84">
        <v>96.288195020759403</v>
      </c>
      <c r="BL84">
        <v>94.359849900974496</v>
      </c>
      <c r="BM84">
        <v>87.424045435708507</v>
      </c>
      <c r="BN84">
        <v>87.399095395760199</v>
      </c>
      <c r="BO84">
        <v>87.106332187743405</v>
      </c>
      <c r="BP84">
        <v>82.154765735030097</v>
      </c>
      <c r="BQ84">
        <v>82.159819898381699</v>
      </c>
    </row>
    <row r="85" spans="1:70" x14ac:dyDescent="0.3">
      <c r="A85" t="s">
        <v>108</v>
      </c>
      <c r="B85" t="s">
        <v>326</v>
      </c>
      <c r="C85" t="s">
        <v>544</v>
      </c>
      <c r="D85" t="s">
        <v>545</v>
      </c>
      <c r="P85">
        <v>126.675903320312</v>
      </c>
      <c r="Q85">
        <v>128.82569885253901</v>
      </c>
      <c r="R85">
        <v>130.58218383789099</v>
      </c>
      <c r="S85">
        <v>130.815673828125</v>
      </c>
      <c r="T85">
        <v>134.80529785156199</v>
      </c>
      <c r="U85">
        <v>138.20863342285199</v>
      </c>
      <c r="V85">
        <v>135.543212890625</v>
      </c>
      <c r="W85">
        <v>141.14860534668</v>
      </c>
      <c r="X85">
        <v>137.06239318847699</v>
      </c>
      <c r="Y85">
        <v>138.64436340332</v>
      </c>
      <c r="Z85">
        <v>139.61451721191401</v>
      </c>
      <c r="AA85">
        <v>139.12661743164099</v>
      </c>
      <c r="AB85">
        <v>138.40643310546901</v>
      </c>
      <c r="AC85">
        <v>138.71516418457</v>
      </c>
      <c r="AD85">
        <v>138.81379699707</v>
      </c>
      <c r="AE85">
        <v>137.34506225585901</v>
      </c>
      <c r="AF85">
        <v>137.74429321289099</v>
      </c>
      <c r="AG85">
        <v>135.15785217285199</v>
      </c>
      <c r="AH85">
        <v>138.21159362793</v>
      </c>
      <c r="AK85">
        <v>126.443557739258</v>
      </c>
      <c r="AM85">
        <v>130.28260803222699</v>
      </c>
      <c r="AN85">
        <v>136.27903747558599</v>
      </c>
      <c r="AO85">
        <v>134.898681640625</v>
      </c>
      <c r="AP85">
        <v>134.64329528808599</v>
      </c>
      <c r="AR85">
        <v>133.68209838867199</v>
      </c>
      <c r="AT85">
        <v>129.566650390625</v>
      </c>
      <c r="AU85">
        <v>135.68646240234401</v>
      </c>
      <c r="AV85">
        <v>133.13984680175801</v>
      </c>
      <c r="BD85">
        <v>129.77599634279699</v>
      </c>
      <c r="BL85">
        <v>100.171603677222</v>
      </c>
    </row>
    <row r="86" spans="1:70" x14ac:dyDescent="0.3">
      <c r="A86" t="s">
        <v>241</v>
      </c>
      <c r="B86" t="s">
        <v>465</v>
      </c>
      <c r="C86" t="s">
        <v>544</v>
      </c>
      <c r="D86" t="s">
        <v>545</v>
      </c>
      <c r="AS86">
        <v>100.591789245605</v>
      </c>
      <c r="AT86">
        <v>100.935920715332</v>
      </c>
      <c r="AU86">
        <v>100.69219970703099</v>
      </c>
      <c r="AV86">
        <v>100.59812927246099</v>
      </c>
      <c r="AW86">
        <v>105.93808746337901</v>
      </c>
      <c r="AX86">
        <v>105.80470275878901</v>
      </c>
      <c r="AY86">
        <v>104.354080200195</v>
      </c>
      <c r="AZ86">
        <v>103.104927062988</v>
      </c>
      <c r="BA86">
        <v>105.741897583008</v>
      </c>
      <c r="BB86">
        <v>105.42121124267599</v>
      </c>
      <c r="BC86">
        <v>105.67324066162099</v>
      </c>
      <c r="BD86">
        <v>105.02626800537099</v>
      </c>
      <c r="BE86">
        <v>105.79596710205099</v>
      </c>
      <c r="BF86">
        <v>105.336990356445</v>
      </c>
      <c r="BG86">
        <v>99.996749877929702</v>
      </c>
      <c r="BH86">
        <v>100.20404052734401</v>
      </c>
      <c r="BI86">
        <v>100.38157653808599</v>
      </c>
      <c r="BJ86">
        <v>100.781051635742</v>
      </c>
      <c r="BK86">
        <v>101.32704925537099</v>
      </c>
      <c r="BL86">
        <v>101.90941619873</v>
      </c>
      <c r="BM86">
        <v>102.22395324707</v>
      </c>
      <c r="BN86">
        <v>102.194450378418</v>
      </c>
      <c r="BO86">
        <v>102.53524017334</v>
      </c>
      <c r="BP86">
        <v>102.555801391602</v>
      </c>
    </row>
    <row r="87" spans="1:70" x14ac:dyDescent="0.3">
      <c r="A87" t="s">
        <v>110</v>
      </c>
      <c r="B87" t="s">
        <v>328</v>
      </c>
      <c r="C87" t="s">
        <v>544</v>
      </c>
      <c r="D87" t="s">
        <v>545</v>
      </c>
      <c r="Z87">
        <v>95.344482421875</v>
      </c>
      <c r="AE87">
        <v>88.408042907714801</v>
      </c>
      <c r="AJ87">
        <v>93.308853149414105</v>
      </c>
      <c r="AK87">
        <v>91.094139099121094</v>
      </c>
      <c r="AL87">
        <v>82.059822082519503</v>
      </c>
      <c r="AM87">
        <v>81.775947570800795</v>
      </c>
      <c r="AN87">
        <v>82.634719848632798</v>
      </c>
      <c r="AO87">
        <v>84.281982421875</v>
      </c>
      <c r="AP87">
        <v>88.560569763183594</v>
      </c>
      <c r="AQ87">
        <v>94.904830932617202</v>
      </c>
      <c r="AR87">
        <v>99.636680603027301</v>
      </c>
      <c r="AS87">
        <v>107.29075622558599</v>
      </c>
      <c r="AT87">
        <v>111.001670837402</v>
      </c>
      <c r="AU87">
        <v>112.332733154297</v>
      </c>
      <c r="AV87">
        <v>111.812088012695</v>
      </c>
      <c r="AW87">
        <v>112.91078948974599</v>
      </c>
      <c r="AX87">
        <v>109.41764831543</v>
      </c>
      <c r="AY87">
        <v>109.272163391113</v>
      </c>
      <c r="AZ87">
        <v>110.829132080078</v>
      </c>
      <c r="BA87">
        <v>109.99112701416</v>
      </c>
      <c r="BB87">
        <v>108.244682312012</v>
      </c>
      <c r="BC87">
        <v>107.15524589556399</v>
      </c>
      <c r="BD87">
        <v>107.761952206271</v>
      </c>
      <c r="BE87">
        <v>109.65139982134799</v>
      </c>
      <c r="BF87">
        <v>110.57522839045301</v>
      </c>
      <c r="BG87">
        <v>109.97668099211801</v>
      </c>
      <c r="BH87">
        <v>107.800106850779</v>
      </c>
      <c r="BI87">
        <v>104.04250989743799</v>
      </c>
      <c r="BJ87">
        <v>102.93776773412699</v>
      </c>
      <c r="BK87">
        <v>100.78684022918701</v>
      </c>
      <c r="BL87">
        <v>101.236423646202</v>
      </c>
      <c r="BM87">
        <v>100.779530049426</v>
      </c>
      <c r="BN87">
        <v>101.286441127535</v>
      </c>
      <c r="BO87">
        <v>102.727831178351</v>
      </c>
      <c r="BP87">
        <v>100.88726086346399</v>
      </c>
      <c r="BQ87">
        <v>99.356020683988504</v>
      </c>
    </row>
    <row r="88" spans="1:70" x14ac:dyDescent="0.3">
      <c r="A88" t="s">
        <v>112</v>
      </c>
      <c r="B88" t="s">
        <v>330</v>
      </c>
      <c r="C88" t="s">
        <v>544</v>
      </c>
      <c r="D88" t="s">
        <v>545</v>
      </c>
      <c r="P88">
        <v>59.091140747070298</v>
      </c>
      <c r="Q88">
        <v>56.884208679199197</v>
      </c>
      <c r="R88">
        <v>57.423469543457003</v>
      </c>
      <c r="S88">
        <v>56.6308403015137</v>
      </c>
      <c r="T88">
        <v>57.316539764404297</v>
      </c>
      <c r="U88">
        <v>61.665531158447301</v>
      </c>
      <c r="V88">
        <v>63.382881164550803</v>
      </c>
      <c r="W88">
        <v>64.483238220214801</v>
      </c>
      <c r="X88">
        <v>66.156066894531193</v>
      </c>
      <c r="Y88">
        <v>67.721130371093807</v>
      </c>
      <c r="Z88">
        <v>69.870918273925795</v>
      </c>
      <c r="AA88">
        <v>71.640457153320298</v>
      </c>
      <c r="AB88">
        <v>70.596008300781193</v>
      </c>
      <c r="AC88">
        <v>67.504241943359403</v>
      </c>
      <c r="AD88">
        <v>68.431968688964801</v>
      </c>
      <c r="AE88">
        <v>64.211181640625</v>
      </c>
      <c r="AF88">
        <v>65.280540466308594</v>
      </c>
      <c r="AG88">
        <v>64.478622436523395</v>
      </c>
      <c r="AH88">
        <v>67.269187927246094</v>
      </c>
      <c r="AI88">
        <v>65.115013122558594</v>
      </c>
      <c r="AJ88">
        <v>72.673301696777301</v>
      </c>
      <c r="AK88">
        <v>73.691749572753906</v>
      </c>
      <c r="AL88">
        <v>72.828086853027301</v>
      </c>
      <c r="AM88">
        <v>73.928771972656193</v>
      </c>
      <c r="AN88">
        <v>72.992996215820298</v>
      </c>
      <c r="AO88">
        <v>73.291450500488295</v>
      </c>
      <c r="AP88">
        <v>76.410110473632798</v>
      </c>
      <c r="AR88">
        <v>75.294952392578097</v>
      </c>
      <c r="AS88">
        <v>79.940376281738295</v>
      </c>
      <c r="AT88">
        <v>75.419593811035199</v>
      </c>
      <c r="AU88">
        <v>78.847579956054702</v>
      </c>
      <c r="AV88">
        <v>76.309349060058594</v>
      </c>
      <c r="AW88">
        <v>80.225440979003906</v>
      </c>
      <c r="AX88">
        <v>86.702468872070298</v>
      </c>
      <c r="AY88">
        <v>91.2332763671875</v>
      </c>
      <c r="AZ88">
        <v>95.995651245117202</v>
      </c>
      <c r="BA88">
        <v>100.84149169921901</v>
      </c>
      <c r="BB88">
        <v>99.077362060546903</v>
      </c>
      <c r="BD88">
        <v>99.413078308105497</v>
      </c>
      <c r="BE88">
        <v>102.068698169955</v>
      </c>
      <c r="BF88">
        <v>101.08945612982799</v>
      </c>
      <c r="BG88">
        <v>99.560086575633207</v>
      </c>
      <c r="BH88">
        <v>103.213138177351</v>
      </c>
      <c r="BI88">
        <v>101.751107525308</v>
      </c>
      <c r="BJ88">
        <v>100.478896703055</v>
      </c>
      <c r="BK88">
        <v>98.681390690526797</v>
      </c>
      <c r="BL88">
        <v>99.875032198562195</v>
      </c>
      <c r="BM88">
        <v>98.404895272390803</v>
      </c>
      <c r="BN88">
        <v>99.450943657247194</v>
      </c>
      <c r="BO88">
        <v>98.231895324704695</v>
      </c>
    </row>
    <row r="89" spans="1:70" x14ac:dyDescent="0.3">
      <c r="A89" t="s">
        <v>113</v>
      </c>
      <c r="B89" t="s">
        <v>331</v>
      </c>
      <c r="C89" t="s">
        <v>544</v>
      </c>
      <c r="D89" t="s">
        <v>545</v>
      </c>
      <c r="P89">
        <v>91.183609008789105</v>
      </c>
      <c r="Q89">
        <v>102.00213623046901</v>
      </c>
      <c r="R89">
        <v>75.429176330566406</v>
      </c>
      <c r="S89">
        <v>76.153221130371094</v>
      </c>
      <c r="T89">
        <v>73.849037170410199</v>
      </c>
      <c r="U89">
        <v>74.740478515625</v>
      </c>
      <c r="V89">
        <v>71.405708312988295</v>
      </c>
      <c r="W89">
        <v>74.838363647460895</v>
      </c>
      <c r="X89">
        <v>74.133262634277301</v>
      </c>
      <c r="Y89">
        <v>73.885696411132798</v>
      </c>
      <c r="Z89">
        <v>74.626869201660199</v>
      </c>
      <c r="AA89">
        <v>77.240631103515597</v>
      </c>
      <c r="AB89">
        <v>77.944793701171903</v>
      </c>
      <c r="AC89">
        <v>81.161827087402301</v>
      </c>
      <c r="AD89">
        <v>79.227317810058594</v>
      </c>
      <c r="AP89">
        <v>130.44932556152301</v>
      </c>
      <c r="AR89">
        <v>117.910453796387</v>
      </c>
      <c r="AS89">
        <v>105.81394958496099</v>
      </c>
      <c r="AT89">
        <v>107.60524749755901</v>
      </c>
      <c r="BA89">
        <v>149.90663146972699</v>
      </c>
      <c r="BB89">
        <v>149.380447387695</v>
      </c>
      <c r="BI89">
        <v>117.183570829841</v>
      </c>
      <c r="BJ89">
        <v>118.47826086956501</v>
      </c>
      <c r="BL89">
        <v>112.325038880249</v>
      </c>
      <c r="BM89">
        <v>108.720271800679</v>
      </c>
      <c r="BN89">
        <v>108.468335787923</v>
      </c>
      <c r="BO89">
        <v>106.327724945135</v>
      </c>
      <c r="BP89">
        <v>103.557022368904</v>
      </c>
      <c r="BQ89">
        <v>101.773180642778</v>
      </c>
    </row>
    <row r="90" spans="1:70" x14ac:dyDescent="0.3">
      <c r="A90" t="s">
        <v>119</v>
      </c>
      <c r="B90" t="s">
        <v>337</v>
      </c>
      <c r="C90" t="s">
        <v>544</v>
      </c>
      <c r="D90" t="s">
        <v>545</v>
      </c>
      <c r="P90">
        <v>31.0666007995606</v>
      </c>
      <c r="Q90">
        <v>26.0731296539307</v>
      </c>
      <c r="R90">
        <v>29.658859252929702</v>
      </c>
      <c r="S90">
        <v>29.911790847778299</v>
      </c>
      <c r="T90">
        <v>30.266859054565401</v>
      </c>
      <c r="U90">
        <v>28.9770603179932</v>
      </c>
      <c r="V90">
        <v>32.161441802978501</v>
      </c>
      <c r="W90">
        <v>33.145420074462898</v>
      </c>
      <c r="X90">
        <v>34.305568695068402</v>
      </c>
      <c r="Y90">
        <v>34.940879821777301</v>
      </c>
      <c r="Z90">
        <v>33.439281463622997</v>
      </c>
      <c r="AA90">
        <v>31.689619064331101</v>
      </c>
      <c r="AB90">
        <v>30.677490234375</v>
      </c>
      <c r="AC90">
        <v>29.774700164794901</v>
      </c>
      <c r="AD90">
        <v>33.990219116210902</v>
      </c>
      <c r="AE90">
        <v>31.8695793151856</v>
      </c>
      <c r="AF90">
        <v>30.392759323120099</v>
      </c>
      <c r="AG90">
        <v>31.706010818481399</v>
      </c>
      <c r="AH90">
        <v>32.403659820556598</v>
      </c>
      <c r="AI90">
        <v>32.3112602233887</v>
      </c>
      <c r="AJ90">
        <v>34.612888336181598</v>
      </c>
      <c r="AK90">
        <v>34.539669036865199</v>
      </c>
      <c r="AL90">
        <v>39.374279022216797</v>
      </c>
      <c r="AM90">
        <v>42.433670043945298</v>
      </c>
      <c r="AN90">
        <v>47.445880889892599</v>
      </c>
      <c r="AO90">
        <v>49.141231536865199</v>
      </c>
      <c r="AP90">
        <v>52.894081115722699</v>
      </c>
      <c r="AQ90">
        <v>53.231868743896499</v>
      </c>
      <c r="AR90">
        <v>55.440879821777301</v>
      </c>
      <c r="AS90">
        <v>58.381229400634801</v>
      </c>
      <c r="AT90">
        <v>61.127021789550803</v>
      </c>
      <c r="AU90">
        <v>69.435401916503906</v>
      </c>
      <c r="AV90">
        <v>72.668716430664105</v>
      </c>
      <c r="AW90">
        <v>75.5423583984375</v>
      </c>
      <c r="AX90">
        <v>77.486198425292997</v>
      </c>
      <c r="AY90">
        <v>79.18359375</v>
      </c>
      <c r="AZ90">
        <v>81.362548828125</v>
      </c>
      <c r="BA90">
        <v>82.752746582031193</v>
      </c>
      <c r="BB90">
        <v>82.911079406738295</v>
      </c>
      <c r="BC90">
        <v>85.616867065429702</v>
      </c>
      <c r="BD90">
        <v>89.374488830566406</v>
      </c>
      <c r="BE90">
        <v>91.492462158203097</v>
      </c>
      <c r="BF90">
        <v>93.530128479003906</v>
      </c>
      <c r="BG90">
        <v>95.151779174804702</v>
      </c>
      <c r="BI90">
        <v>93.113258361816406</v>
      </c>
      <c r="BM90">
        <v>100.47451782226599</v>
      </c>
    </row>
    <row r="91" spans="1:70" x14ac:dyDescent="0.3">
      <c r="A91" t="s">
        <v>109</v>
      </c>
      <c r="B91" t="s">
        <v>327</v>
      </c>
      <c r="C91" t="s">
        <v>544</v>
      </c>
      <c r="D91" t="s">
        <v>545</v>
      </c>
      <c r="P91">
        <v>21.4209804534912</v>
      </c>
      <c r="Q91">
        <v>21.130649566650401</v>
      </c>
      <c r="R91">
        <v>22.786840438842798</v>
      </c>
      <c r="S91">
        <v>23.5877895355225</v>
      </c>
      <c r="T91">
        <v>24.7052898406982</v>
      </c>
      <c r="U91">
        <v>26.234909057617202</v>
      </c>
      <c r="V91">
        <v>27.265050888061499</v>
      </c>
      <c r="W91">
        <v>29.4936008453369</v>
      </c>
      <c r="X91">
        <v>33.295440673828097</v>
      </c>
      <c r="Y91">
        <v>37.281589508056598</v>
      </c>
      <c r="Z91">
        <v>45.044708251953097</v>
      </c>
      <c r="AA91">
        <v>48.669841766357401</v>
      </c>
      <c r="AB91">
        <v>51.429019927978501</v>
      </c>
      <c r="AC91">
        <v>54.511280059814503</v>
      </c>
      <c r="AD91">
        <v>56.316478729247997</v>
      </c>
      <c r="AE91">
        <v>56.662731170654297</v>
      </c>
      <c r="AF91">
        <v>55.457481384277301</v>
      </c>
      <c r="AG91">
        <v>53.548740386962898</v>
      </c>
      <c r="AH91">
        <v>50.1887016296387</v>
      </c>
      <c r="AI91">
        <v>50.556159973144503</v>
      </c>
      <c r="AJ91">
        <v>50.983551025390597</v>
      </c>
      <c r="AK91">
        <v>50.966251373291001</v>
      </c>
      <c r="AL91">
        <v>52.158199310302699</v>
      </c>
      <c r="AM91">
        <v>54.161849975585902</v>
      </c>
      <c r="AN91">
        <v>55.788421630859403</v>
      </c>
      <c r="AO91">
        <v>58.924610137939503</v>
      </c>
      <c r="AP91">
        <v>60.687900543212898</v>
      </c>
      <c r="AQ91">
        <v>61.957088470458999</v>
      </c>
      <c r="AR91">
        <v>71.793800354003906</v>
      </c>
      <c r="AS91">
        <v>70.985023498535199</v>
      </c>
      <c r="AT91">
        <v>71.4117431640625</v>
      </c>
      <c r="AU91">
        <v>69.332427978515597</v>
      </c>
      <c r="AV91">
        <v>72.404167175292997</v>
      </c>
      <c r="AW91">
        <v>73.579399108886705</v>
      </c>
      <c r="AX91">
        <v>72.190887451171903</v>
      </c>
      <c r="AY91">
        <v>71.475967407226605</v>
      </c>
      <c r="AZ91">
        <v>73.950881958007798</v>
      </c>
      <c r="BA91">
        <v>73.556617736816406</v>
      </c>
      <c r="BB91">
        <v>73.409652709960895</v>
      </c>
      <c r="BC91">
        <v>73.459982738409593</v>
      </c>
      <c r="BD91">
        <v>72.190663347192597</v>
      </c>
      <c r="BE91">
        <v>75.459265237463498</v>
      </c>
      <c r="BF91">
        <v>77.531891007746793</v>
      </c>
      <c r="BG91">
        <v>80.671275241040604</v>
      </c>
      <c r="BH91">
        <v>83.676780002166694</v>
      </c>
      <c r="BI91">
        <v>85.496815286624198</v>
      </c>
      <c r="BJ91">
        <v>88.691574209023301</v>
      </c>
      <c r="BK91">
        <v>91.480327667652901</v>
      </c>
      <c r="BL91">
        <v>95.096577190739893</v>
      </c>
      <c r="BM91">
        <v>96.882702660067395</v>
      </c>
      <c r="BN91">
        <v>96.323541765170404</v>
      </c>
      <c r="BO91">
        <v>97.278172336260795</v>
      </c>
      <c r="BP91">
        <v>98.735967042877903</v>
      </c>
      <c r="BQ91">
        <v>98.605883331927402</v>
      </c>
      <c r="BR91">
        <v>100.42901618787801</v>
      </c>
    </row>
    <row r="92" spans="1:70" x14ac:dyDescent="0.3">
      <c r="A92" t="s">
        <v>120</v>
      </c>
      <c r="B92" t="s">
        <v>338</v>
      </c>
      <c r="C92" t="s">
        <v>544</v>
      </c>
      <c r="D92" t="s">
        <v>545</v>
      </c>
      <c r="P92">
        <v>28.9080200195312</v>
      </c>
      <c r="Q92">
        <v>33.741218566894503</v>
      </c>
      <c r="R92">
        <v>42.6780815124512</v>
      </c>
      <c r="S92">
        <v>51.6404418945312</v>
      </c>
      <c r="T92">
        <v>78.759162902832003</v>
      </c>
      <c r="U92">
        <v>82.571212768554702</v>
      </c>
      <c r="W92">
        <v>72.593360900878906</v>
      </c>
      <c r="X92">
        <v>63.3813285827637</v>
      </c>
      <c r="Y92">
        <v>59.496631622314503</v>
      </c>
      <c r="Z92">
        <v>55.806869506835902</v>
      </c>
      <c r="AA92">
        <v>54.182300567627003</v>
      </c>
      <c r="AB92">
        <v>52.307289123535199</v>
      </c>
      <c r="AC92">
        <v>51.485599517822301</v>
      </c>
      <c r="AD92">
        <v>51.416740417480497</v>
      </c>
      <c r="AF92">
        <v>50.9417114257812</v>
      </c>
      <c r="AG92">
        <v>49.649990081787102</v>
      </c>
      <c r="AH92">
        <v>51.059829711914098</v>
      </c>
      <c r="AK92">
        <v>48.133289337158203</v>
      </c>
      <c r="AL92">
        <v>46.151039123535199</v>
      </c>
      <c r="AM92">
        <v>50.9829711914062</v>
      </c>
      <c r="AN92">
        <v>54.648460388183601</v>
      </c>
      <c r="AO92">
        <v>56.782951354980497</v>
      </c>
      <c r="AP92">
        <v>61.450771331787102</v>
      </c>
      <c r="AQ92">
        <v>64.954246520996094</v>
      </c>
      <c r="AS92">
        <v>75.500297546386705</v>
      </c>
      <c r="AT92">
        <v>89.762016296386705</v>
      </c>
      <c r="AW92">
        <v>107.977500915527</v>
      </c>
      <c r="AX92">
        <v>114.70053863525401</v>
      </c>
      <c r="AY92">
        <v>119.65599060058599</v>
      </c>
      <c r="BC92">
        <v>113.43678283691401</v>
      </c>
    </row>
    <row r="93" spans="1:70" x14ac:dyDescent="0.3">
      <c r="A93" t="s">
        <v>98</v>
      </c>
      <c r="B93" t="s">
        <v>316</v>
      </c>
      <c r="C93" t="s">
        <v>544</v>
      </c>
      <c r="D93" t="s">
        <v>545</v>
      </c>
      <c r="P93">
        <v>81.198448181152301</v>
      </c>
      <c r="S93">
        <v>96.952140808105497</v>
      </c>
      <c r="Z93">
        <v>115.512809753418</v>
      </c>
      <c r="AA93">
        <v>111.147003173828</v>
      </c>
      <c r="AB93">
        <v>119.18300628662099</v>
      </c>
      <c r="AC93">
        <v>136.25633239746099</v>
      </c>
      <c r="AL93">
        <v>107.862190246582</v>
      </c>
      <c r="AM93">
        <v>105.35604858398401</v>
      </c>
      <c r="AR93">
        <v>86.137931823730497</v>
      </c>
      <c r="AS93">
        <v>81.569877624511705</v>
      </c>
      <c r="AT93">
        <v>82.340408325195298</v>
      </c>
      <c r="AU93">
        <v>78.566780090332003</v>
      </c>
      <c r="AV93">
        <v>71.197906494140597</v>
      </c>
      <c r="AX93">
        <v>68.3863525390625</v>
      </c>
      <c r="BA93">
        <v>57.204219818115199</v>
      </c>
      <c r="BB93">
        <v>56.320770263671903</v>
      </c>
      <c r="BC93">
        <v>56.021999359130902</v>
      </c>
      <c r="BD93">
        <v>54.686599731445298</v>
      </c>
      <c r="BE93">
        <v>54.972549438476598</v>
      </c>
      <c r="BH93">
        <v>47.548648834228501</v>
      </c>
    </row>
    <row r="94" spans="1:70" x14ac:dyDescent="0.3">
      <c r="A94" t="s">
        <v>114</v>
      </c>
      <c r="B94" t="s">
        <v>332</v>
      </c>
      <c r="C94" t="s">
        <v>544</v>
      </c>
      <c r="D94" t="s">
        <v>545</v>
      </c>
      <c r="AS94">
        <v>102.308349609375</v>
      </c>
      <c r="AT94">
        <v>101.49257659912099</v>
      </c>
      <c r="AU94">
        <v>93.634628295898395</v>
      </c>
      <c r="AV94">
        <v>96.361892700195298</v>
      </c>
      <c r="AW94">
        <v>99.335838317871094</v>
      </c>
      <c r="AX94">
        <v>99.719970703125</v>
      </c>
      <c r="AY94">
        <v>99.143043518066406</v>
      </c>
      <c r="AZ94">
        <v>98.761390686035199</v>
      </c>
      <c r="BC94">
        <v>99.969039916992202</v>
      </c>
      <c r="BD94">
        <v>99.500167846679702</v>
      </c>
      <c r="BE94">
        <v>99.501800537109403</v>
      </c>
      <c r="BF94">
        <v>98.732521057128906</v>
      </c>
      <c r="BG94">
        <v>97.959342956542997</v>
      </c>
      <c r="BH94">
        <v>99.829109191894503</v>
      </c>
      <c r="BI94">
        <v>99.370651245117202</v>
      </c>
      <c r="BJ94">
        <v>98.826713562011705</v>
      </c>
      <c r="BK94">
        <v>97.801101684570298</v>
      </c>
      <c r="BL94">
        <v>97.643768310546903</v>
      </c>
      <c r="BM94">
        <v>97.283172607421903</v>
      </c>
      <c r="BN94">
        <v>97.331321716308594</v>
      </c>
      <c r="BO94">
        <v>101.192031860352</v>
      </c>
      <c r="BP94">
        <v>102.020217895508</v>
      </c>
    </row>
    <row r="95" spans="1:70" x14ac:dyDescent="0.3">
      <c r="A95" t="s">
        <v>116</v>
      </c>
      <c r="B95" t="s">
        <v>334</v>
      </c>
      <c r="C95" t="s">
        <v>544</v>
      </c>
      <c r="D95" t="s">
        <v>545</v>
      </c>
      <c r="P95">
        <v>139.16012573242199</v>
      </c>
      <c r="Q95">
        <v>138.195724487305</v>
      </c>
      <c r="R95">
        <v>135.47459411621099</v>
      </c>
      <c r="S95">
        <v>135.23558044433599</v>
      </c>
      <c r="T95">
        <v>108.483238220215</v>
      </c>
      <c r="U95">
        <v>106.99681854248</v>
      </c>
      <c r="V95">
        <v>105.083251953125</v>
      </c>
      <c r="W95">
        <v>104.556838989258</v>
      </c>
      <c r="X95">
        <v>104.425262451172</v>
      </c>
      <c r="Y95">
        <v>104.551803588867</v>
      </c>
      <c r="Z95">
        <v>102.87404632568401</v>
      </c>
      <c r="AA95">
        <v>102.99001312255901</v>
      </c>
      <c r="AB95">
        <v>105.293212890625</v>
      </c>
      <c r="AC95">
        <v>105.51889038085901</v>
      </c>
      <c r="AD95">
        <v>108.122909545898</v>
      </c>
      <c r="AE95">
        <v>107.57122039794901</v>
      </c>
      <c r="AF95">
        <v>119.777290344238</v>
      </c>
      <c r="AG95">
        <v>123.282386779785</v>
      </c>
      <c r="AI95">
        <v>128.85455322265599</v>
      </c>
      <c r="AJ95">
        <v>130.57606506347699</v>
      </c>
      <c r="AK95">
        <v>137.06056213378901</v>
      </c>
      <c r="AL95">
        <v>138.74572753906199</v>
      </c>
      <c r="AM95">
        <v>135.96723937988301</v>
      </c>
      <c r="AN95">
        <v>133.12396240234401</v>
      </c>
      <c r="AO95">
        <v>121.526496887207</v>
      </c>
      <c r="AP95">
        <v>132.94366455078099</v>
      </c>
      <c r="AQ95">
        <v>127.00022888183599</v>
      </c>
      <c r="AR95">
        <v>115.07330322265599</v>
      </c>
      <c r="AS95">
        <v>94.541839599609403</v>
      </c>
      <c r="AT95">
        <v>95.504013061523395</v>
      </c>
      <c r="AU95">
        <v>108.388946533203</v>
      </c>
      <c r="AV95">
        <v>107.69529724121099</v>
      </c>
      <c r="AW95">
        <v>106.28904724121099</v>
      </c>
      <c r="AX95">
        <v>99.868476867675795</v>
      </c>
      <c r="AZ95">
        <v>101.044807434082</v>
      </c>
      <c r="BA95">
        <v>105.570350646973</v>
      </c>
      <c r="BB95">
        <v>111.27146911621099</v>
      </c>
      <c r="BC95">
        <v>110.229927062988</v>
      </c>
      <c r="BD95">
        <v>109.883287807301</v>
      </c>
      <c r="BF95">
        <v>109.840515778758</v>
      </c>
      <c r="BG95">
        <v>108.844735077129</v>
      </c>
      <c r="BH95">
        <v>111.62308011623099</v>
      </c>
      <c r="BI95">
        <v>108.662712097168</v>
      </c>
      <c r="BJ95">
        <v>110.180032733224</v>
      </c>
      <c r="BK95">
        <v>107.78648383937301</v>
      </c>
      <c r="BN95">
        <v>99.260814783704305</v>
      </c>
      <c r="BQ95">
        <v>110.590518436374</v>
      </c>
    </row>
    <row r="96" spans="1:70" x14ac:dyDescent="0.3">
      <c r="A96" t="s">
        <v>115</v>
      </c>
      <c r="B96" t="s">
        <v>333</v>
      </c>
      <c r="C96" t="s">
        <v>544</v>
      </c>
      <c r="D96" t="s">
        <v>545</v>
      </c>
    </row>
    <row r="97" spans="1:70" x14ac:dyDescent="0.3">
      <c r="A97" t="s">
        <v>118</v>
      </c>
      <c r="B97" t="s">
        <v>336</v>
      </c>
      <c r="C97" t="s">
        <v>544</v>
      </c>
      <c r="D97" t="s">
        <v>545</v>
      </c>
      <c r="O97">
        <v>57.2028617858887</v>
      </c>
      <c r="P97">
        <v>58.734050750732401</v>
      </c>
      <c r="Q97">
        <v>59.968681335449197</v>
      </c>
      <c r="R97">
        <v>59.9953804016113</v>
      </c>
      <c r="S97">
        <v>61.343940734863303</v>
      </c>
      <c r="T97">
        <v>62.600788116455099</v>
      </c>
      <c r="U97">
        <v>62.579521179199197</v>
      </c>
      <c r="V97">
        <v>65.532386779785199</v>
      </c>
      <c r="W97">
        <v>67.869567871093807</v>
      </c>
      <c r="X97">
        <v>69.909042358398395</v>
      </c>
      <c r="Y97">
        <v>72.588462829589801</v>
      </c>
      <c r="Z97">
        <v>77.1082763671875</v>
      </c>
      <c r="AA97">
        <v>72.829788208007798</v>
      </c>
      <c r="AB97">
        <v>77.7159423828125</v>
      </c>
      <c r="AC97">
        <v>79.3707275390625</v>
      </c>
      <c r="AD97">
        <v>79.634140014648395</v>
      </c>
      <c r="AE97">
        <v>78.879547119140597</v>
      </c>
      <c r="AF97">
        <v>80.568588256835895</v>
      </c>
      <c r="AG97">
        <v>81.680709838867202</v>
      </c>
      <c r="AI97">
        <v>77.876258850097699</v>
      </c>
      <c r="AJ97">
        <v>81.127868652343807</v>
      </c>
      <c r="AK97">
        <v>84.966682434082003</v>
      </c>
      <c r="AL97">
        <v>86.337730407714801</v>
      </c>
      <c r="AM97">
        <v>85.647422790527301</v>
      </c>
      <c r="AN97">
        <v>86.888313293457003</v>
      </c>
      <c r="AO97">
        <v>86.843643188476605</v>
      </c>
      <c r="AP97">
        <v>86.483718872070298</v>
      </c>
      <c r="AQ97">
        <v>91.850860595703097</v>
      </c>
      <c r="AR97">
        <v>96.808639526367202</v>
      </c>
      <c r="AS97">
        <v>98.819328308105497</v>
      </c>
      <c r="AT97">
        <v>99.704048156738295</v>
      </c>
      <c r="AU97">
        <v>102.802780151367</v>
      </c>
      <c r="AW97">
        <v>108.796012878418</v>
      </c>
      <c r="AX97">
        <v>109.972137451172</v>
      </c>
      <c r="AY97">
        <v>111.043182373047</v>
      </c>
      <c r="AZ97">
        <v>111.587127685547</v>
      </c>
      <c r="BA97">
        <v>112.624313354492</v>
      </c>
      <c r="BB97">
        <v>118.53663635253901</v>
      </c>
      <c r="BC97">
        <v>117.27329338311</v>
      </c>
      <c r="BD97">
        <v>116.099510743236</v>
      </c>
      <c r="BE97">
        <v>111.646252383001</v>
      </c>
      <c r="BF97">
        <v>107.864590547525</v>
      </c>
      <c r="BG97">
        <v>105.23115403768701</v>
      </c>
      <c r="BH97">
        <v>103.75696017709301</v>
      </c>
      <c r="BI97">
        <v>101.352012012457</v>
      </c>
      <c r="BJ97">
        <v>101.387446797743</v>
      </c>
      <c r="BK97">
        <v>102.983138102239</v>
      </c>
      <c r="BL97">
        <v>101.97936338125599</v>
      </c>
      <c r="BM97">
        <v>101.500290013425</v>
      </c>
      <c r="BN97">
        <v>103.02649445279501</v>
      </c>
      <c r="BO97">
        <v>102.998277778394</v>
      </c>
      <c r="BP97">
        <v>102.032228557129</v>
      </c>
      <c r="BQ97">
        <v>101.48883125280901</v>
      </c>
    </row>
    <row r="98" spans="1:70" x14ac:dyDescent="0.3">
      <c r="A98" t="s">
        <v>117</v>
      </c>
      <c r="B98" t="s">
        <v>335</v>
      </c>
      <c r="C98" t="s">
        <v>544</v>
      </c>
      <c r="D98" t="s">
        <v>545</v>
      </c>
      <c r="Z98">
        <v>90.960739135742202</v>
      </c>
      <c r="AA98">
        <v>89.110137939453097</v>
      </c>
      <c r="AB98">
        <v>87.336311340332003</v>
      </c>
      <c r="AC98">
        <v>85.461708068847699</v>
      </c>
      <c r="AD98">
        <v>85.440666198730497</v>
      </c>
      <c r="AE98">
        <v>84.154838562011705</v>
      </c>
      <c r="AF98">
        <v>84.348220825195298</v>
      </c>
      <c r="AG98">
        <v>84.154159545898395</v>
      </c>
      <c r="AH98">
        <v>77.922859191894503</v>
      </c>
    </row>
    <row r="99" spans="1:70" x14ac:dyDescent="0.3">
      <c r="A99" t="s">
        <v>121</v>
      </c>
      <c r="B99" t="s">
        <v>339</v>
      </c>
      <c r="C99" t="s">
        <v>544</v>
      </c>
      <c r="D99" t="s">
        <v>545</v>
      </c>
      <c r="P99">
        <v>100.057510375977</v>
      </c>
      <c r="Q99">
        <v>99.7374267578125</v>
      </c>
      <c r="R99">
        <v>100.178916931152</v>
      </c>
      <c r="S99">
        <v>100.439727783203</v>
      </c>
      <c r="U99">
        <v>98.964309692382798</v>
      </c>
      <c r="V99">
        <v>106.52049255371099</v>
      </c>
      <c r="W99">
        <v>104.42196655273401</v>
      </c>
      <c r="X99">
        <v>103.484870910645</v>
      </c>
      <c r="Y99">
        <v>99.451072692871094</v>
      </c>
      <c r="Z99">
        <v>98.962959289550795</v>
      </c>
      <c r="AA99">
        <v>99.907783508300795</v>
      </c>
      <c r="AB99">
        <v>99.019767761230497</v>
      </c>
      <c r="AC99">
        <v>97.673362731933594</v>
      </c>
      <c r="AD99">
        <v>96.199966430664105</v>
      </c>
      <c r="AE99">
        <v>95.666900634765597</v>
      </c>
      <c r="AF99">
        <v>96.793907165527301</v>
      </c>
      <c r="AG99">
        <v>100.77581024169901</v>
      </c>
      <c r="AH99">
        <v>105.91049194335901</v>
      </c>
      <c r="AJ99">
        <v>97.177192687988295</v>
      </c>
      <c r="AK99">
        <v>94.439262390136705</v>
      </c>
      <c r="AL99">
        <v>93.325851440429702</v>
      </c>
      <c r="AM99">
        <v>93.837081909179702</v>
      </c>
      <c r="AN99">
        <v>95.539558410644503</v>
      </c>
      <c r="AO99">
        <v>95.761726379394503</v>
      </c>
      <c r="AP99">
        <v>96.592742919921903</v>
      </c>
      <c r="AR99">
        <v>98.317161560058594</v>
      </c>
      <c r="AS99">
        <v>98.257850646972699</v>
      </c>
      <c r="AT99">
        <v>96.990669250488295</v>
      </c>
      <c r="AV99">
        <v>96.338661193847699</v>
      </c>
      <c r="AX99">
        <v>101.88932800293</v>
      </c>
      <c r="AZ99">
        <v>98.705230712890597</v>
      </c>
      <c r="BA99">
        <v>100.129516601562</v>
      </c>
      <c r="BB99">
        <v>97.610122680664105</v>
      </c>
      <c r="BC99">
        <v>100.620507153069</v>
      </c>
      <c r="BD99">
        <v>104.945060789465</v>
      </c>
      <c r="BE99">
        <v>105.236896620854</v>
      </c>
      <c r="BL99">
        <v>87.739179096446506</v>
      </c>
      <c r="BM99">
        <v>96.356927277187097</v>
      </c>
      <c r="BN99">
        <v>96.397194536729401</v>
      </c>
      <c r="BP99">
        <v>94.446055384105506</v>
      </c>
      <c r="BQ99">
        <v>97.553595504461597</v>
      </c>
    </row>
    <row r="100" spans="1:70" x14ac:dyDescent="0.3">
      <c r="A100" t="s">
        <v>9</v>
      </c>
      <c r="B100" t="s">
        <v>570</v>
      </c>
      <c r="C100" t="s">
        <v>544</v>
      </c>
      <c r="D100" t="s">
        <v>545</v>
      </c>
      <c r="AR100">
        <v>104.249786376953</v>
      </c>
      <c r="AS100">
        <v>103.07412719726599</v>
      </c>
      <c r="AT100">
        <v>103.25431060791</v>
      </c>
      <c r="AU100">
        <v>103.36286163330099</v>
      </c>
      <c r="AV100">
        <v>103.81047821044901</v>
      </c>
      <c r="AW100">
        <v>103.751899719238</v>
      </c>
      <c r="AX100">
        <v>102.73451995849599</v>
      </c>
      <c r="AY100">
        <v>103.04794311523401</v>
      </c>
      <c r="AZ100">
        <v>102.935188293457</v>
      </c>
      <c r="BA100">
        <v>103.120239257812</v>
      </c>
      <c r="BB100">
        <v>102.799209594727</v>
      </c>
      <c r="BC100">
        <v>102.527587890625</v>
      </c>
      <c r="BD100">
        <v>102.22878265380901</v>
      </c>
      <c r="BE100">
        <v>102.197303771973</v>
      </c>
      <c r="BF100">
        <v>101.080459594727</v>
      </c>
      <c r="BG100">
        <v>100.687461853027</v>
      </c>
      <c r="BH100">
        <v>100.83998870849599</v>
      </c>
      <c r="BI100">
        <v>100.934463500977</v>
      </c>
      <c r="BJ100">
        <v>101.420600891113</v>
      </c>
      <c r="BK100">
        <v>101.315391540527</v>
      </c>
      <c r="BL100">
        <v>101.189460754395</v>
      </c>
      <c r="BM100">
        <v>100.789581298828</v>
      </c>
      <c r="BN100">
        <v>100.129592895508</v>
      </c>
      <c r="BO100">
        <v>99.637031555175795</v>
      </c>
      <c r="BP100">
        <v>99.709068298339801</v>
      </c>
      <c r="BQ100">
        <v>99.805999755859403</v>
      </c>
    </row>
    <row r="101" spans="1:70" x14ac:dyDescent="0.3">
      <c r="A101" t="s">
        <v>124</v>
      </c>
      <c r="B101" t="s">
        <v>342</v>
      </c>
      <c r="C101" t="s">
        <v>544</v>
      </c>
      <c r="D101" t="s">
        <v>545</v>
      </c>
      <c r="AT101">
        <v>100.90641784668</v>
      </c>
      <c r="AU101">
        <v>101.921310424805</v>
      </c>
      <c r="AV101">
        <v>102.71070098877</v>
      </c>
      <c r="AW101">
        <v>100.33164215087901</v>
      </c>
      <c r="AX101">
        <v>100.73030090332</v>
      </c>
      <c r="AY101">
        <v>101.055946350098</v>
      </c>
      <c r="AZ101">
        <v>100.729278564453</v>
      </c>
      <c r="BA101">
        <v>102.48016357421901</v>
      </c>
      <c r="BB101">
        <v>104.338989257812</v>
      </c>
      <c r="BC101">
        <v>105.429219600726</v>
      </c>
      <c r="BD101">
        <v>104.60275258054401</v>
      </c>
      <c r="BE101">
        <v>107.340572556762</v>
      </c>
      <c r="BF101">
        <v>106.884666666667</v>
      </c>
      <c r="BG101">
        <v>105.04569021386899</v>
      </c>
      <c r="BH101">
        <v>105.13152070818801</v>
      </c>
      <c r="BI101">
        <v>104.741013824885</v>
      </c>
      <c r="BJ101">
        <v>104.80790960452001</v>
      </c>
      <c r="BK101">
        <v>103.43099547511299</v>
      </c>
      <c r="BL101">
        <v>102.20260727865301</v>
      </c>
      <c r="BM101">
        <v>105.128762541806</v>
      </c>
      <c r="BN101">
        <v>106.033688453786</v>
      </c>
      <c r="BO101">
        <v>103.028312901343</v>
      </c>
      <c r="BQ101">
        <v>103.152955896153</v>
      </c>
    </row>
    <row r="102" spans="1:70" x14ac:dyDescent="0.3">
      <c r="A102" t="s">
        <v>123</v>
      </c>
      <c r="B102" t="s">
        <v>341</v>
      </c>
      <c r="C102" t="s">
        <v>544</v>
      </c>
      <c r="D102" t="s">
        <v>545</v>
      </c>
      <c r="O102">
        <v>81.332443237304702</v>
      </c>
      <c r="P102">
        <v>81.284927368164105</v>
      </c>
      <c r="Q102">
        <v>82.833282470703097</v>
      </c>
      <c r="R102">
        <v>82.076278686523395</v>
      </c>
      <c r="S102">
        <v>83.8638916015625</v>
      </c>
      <c r="T102">
        <v>85.10546875</v>
      </c>
      <c r="U102">
        <v>86.928131103515597</v>
      </c>
      <c r="V102">
        <v>86.352188110351605</v>
      </c>
      <c r="W102">
        <v>89.309028625488295</v>
      </c>
      <c r="X102">
        <v>95.096153259277301</v>
      </c>
      <c r="Y102">
        <v>96.575340270996094</v>
      </c>
      <c r="Z102">
        <v>95.764488220214801</v>
      </c>
      <c r="AA102">
        <v>101.70623779296901</v>
      </c>
      <c r="AB102">
        <v>103.050621032715</v>
      </c>
      <c r="AC102">
        <v>104.345428466797</v>
      </c>
      <c r="AD102">
        <v>104.887809753418</v>
      </c>
      <c r="AE102">
        <v>107.37631988525401</v>
      </c>
      <c r="AG102">
        <v>107.204696655273</v>
      </c>
      <c r="AI102">
        <v>104.161323547363</v>
      </c>
      <c r="AJ102">
        <v>103.749481201172</v>
      </c>
      <c r="AK102">
        <v>107.086723327637</v>
      </c>
      <c r="AL102">
        <v>108.23200225830099</v>
      </c>
      <c r="AM102">
        <v>107.91282653808599</v>
      </c>
      <c r="AN102">
        <v>105.599731445312</v>
      </c>
      <c r="AO102">
        <v>105.917282104492</v>
      </c>
      <c r="AP102">
        <v>106.000328063965</v>
      </c>
      <c r="AQ102">
        <v>104.974990844727</v>
      </c>
      <c r="AR102">
        <v>104.199028015137</v>
      </c>
      <c r="AS102">
        <v>103.204963684082</v>
      </c>
      <c r="AV102">
        <v>108.33374786377</v>
      </c>
      <c r="AW102">
        <v>106.42408752441401</v>
      </c>
      <c r="AX102">
        <v>102.47428894043</v>
      </c>
      <c r="AY102">
        <v>105.866416931152</v>
      </c>
      <c r="AZ102">
        <v>100.83383178710901</v>
      </c>
      <c r="BA102">
        <v>101.453086853027</v>
      </c>
      <c r="BB102">
        <v>99.531112670898395</v>
      </c>
      <c r="BC102">
        <v>99.432761623395194</v>
      </c>
      <c r="BD102">
        <v>97.676678602811805</v>
      </c>
      <c r="BE102">
        <v>94.187165349027893</v>
      </c>
      <c r="BF102">
        <v>90.552923374978604</v>
      </c>
      <c r="BG102">
        <v>89.403367041058701</v>
      </c>
      <c r="BH102">
        <v>89.242153936483902</v>
      </c>
      <c r="BI102">
        <v>88.646518886498697</v>
      </c>
      <c r="BJ102">
        <v>87.112095177209895</v>
      </c>
      <c r="BL102">
        <v>85.364484598885895</v>
      </c>
      <c r="BM102">
        <v>83.655299038885502</v>
      </c>
      <c r="BN102">
        <v>80.893361148607198</v>
      </c>
      <c r="BO102">
        <v>82.293717197957704</v>
      </c>
      <c r="BP102">
        <v>82.547882130592697</v>
      </c>
      <c r="BQ102">
        <v>78.969084839008303</v>
      </c>
    </row>
    <row r="103" spans="1:70" x14ac:dyDescent="0.3">
      <c r="A103" t="s">
        <v>571</v>
      </c>
      <c r="B103" t="s">
        <v>572</v>
      </c>
      <c r="C103" t="s">
        <v>544</v>
      </c>
      <c r="D103" t="s">
        <v>545</v>
      </c>
      <c r="O103">
        <v>49.7156982421875</v>
      </c>
      <c r="P103">
        <v>47.215919494628899</v>
      </c>
      <c r="Q103">
        <v>47.539039611816399</v>
      </c>
      <c r="R103">
        <v>48.688930511474602</v>
      </c>
      <c r="S103">
        <v>49.718498229980497</v>
      </c>
      <c r="T103">
        <v>51.6839599609375</v>
      </c>
      <c r="U103">
        <v>54.186458587646499</v>
      </c>
      <c r="V103">
        <v>56.618049621582003</v>
      </c>
      <c r="W103">
        <v>58.778060913085902</v>
      </c>
      <c r="X103">
        <v>60.4432983398438</v>
      </c>
      <c r="Y103">
        <v>62.616958618164098</v>
      </c>
      <c r="Z103">
        <v>64.430557250976605</v>
      </c>
      <c r="AA103">
        <v>65.196548461914105</v>
      </c>
      <c r="AB103">
        <v>64.327110290527301</v>
      </c>
      <c r="AC103">
        <v>64.169670104980497</v>
      </c>
      <c r="AD103">
        <v>63.864330291747997</v>
      </c>
      <c r="AE103">
        <v>62.787521362304702</v>
      </c>
      <c r="AF103">
        <v>61.775951385497997</v>
      </c>
      <c r="AG103">
        <v>62.596408843994098</v>
      </c>
      <c r="AH103">
        <v>60.802520751953097</v>
      </c>
      <c r="AI103">
        <v>59.480461120605497</v>
      </c>
      <c r="AJ103">
        <v>61.3656005859375</v>
      </c>
      <c r="AK103">
        <v>60.404998779296903</v>
      </c>
      <c r="AL103">
        <v>61.407890319824197</v>
      </c>
      <c r="AM103">
        <v>62.384159088134801</v>
      </c>
      <c r="AN103">
        <v>64.718879699707003</v>
      </c>
      <c r="AO103">
        <v>64.794509887695298</v>
      </c>
      <c r="AP103">
        <v>68.502761840820298</v>
      </c>
      <c r="AQ103">
        <v>69.167991638183594</v>
      </c>
      <c r="AR103">
        <v>68.591636657714801</v>
      </c>
      <c r="AS103">
        <v>70.797348022460895</v>
      </c>
      <c r="AT103">
        <v>73.989532470703097</v>
      </c>
      <c r="AU103">
        <v>79.190132141113295</v>
      </c>
      <c r="AV103">
        <v>82.309371948242202</v>
      </c>
      <c r="AW103">
        <v>85.2293701171875</v>
      </c>
      <c r="AX103">
        <v>87.967979431152301</v>
      </c>
      <c r="AY103">
        <v>90.460113525390597</v>
      </c>
      <c r="AZ103">
        <v>92.758041381835895</v>
      </c>
      <c r="BA103">
        <v>96.623359680175795</v>
      </c>
      <c r="BB103">
        <v>96.632118225097699</v>
      </c>
      <c r="BC103">
        <v>96.807037353515597</v>
      </c>
      <c r="BD103">
        <v>96.885772705078097</v>
      </c>
      <c r="BE103">
        <v>98.12255859375</v>
      </c>
      <c r="BF103">
        <v>98.076423645019503</v>
      </c>
      <c r="BG103">
        <v>98.915809631347699</v>
      </c>
      <c r="BH103">
        <v>97.959030151367202</v>
      </c>
      <c r="BI103">
        <v>98.729682922363295</v>
      </c>
      <c r="BJ103">
        <v>99.373481750488295</v>
      </c>
      <c r="BK103">
        <v>100.38681793212901</v>
      </c>
      <c r="BL103">
        <v>101.520050048828</v>
      </c>
      <c r="BM103">
        <v>102.42356109619099</v>
      </c>
      <c r="BN103">
        <v>101.63394165039099</v>
      </c>
      <c r="BO103">
        <v>99.329658508300795</v>
      </c>
      <c r="BP103">
        <v>99.677490234375</v>
      </c>
      <c r="BQ103">
        <v>100.075187683105</v>
      </c>
    </row>
    <row r="104" spans="1:70" x14ac:dyDescent="0.3">
      <c r="A104" t="s">
        <v>86</v>
      </c>
      <c r="B104" t="s">
        <v>304</v>
      </c>
      <c r="C104" t="s">
        <v>544</v>
      </c>
      <c r="D104" t="s">
        <v>545</v>
      </c>
      <c r="AT104">
        <v>101.51358795166</v>
      </c>
      <c r="AU104">
        <v>100.782028198242</v>
      </c>
      <c r="AV104">
        <v>100.98777008056599</v>
      </c>
      <c r="AX104">
        <v>100.140830993652</v>
      </c>
      <c r="AY104">
        <v>99.384552001953097</v>
      </c>
      <c r="AZ104">
        <v>98.866127014160199</v>
      </c>
      <c r="BA104">
        <v>97.902801513671903</v>
      </c>
      <c r="BB104">
        <v>97.974609375</v>
      </c>
      <c r="BC104">
        <v>98.070823669433594</v>
      </c>
      <c r="BD104">
        <v>98.093597412109403</v>
      </c>
      <c r="BE104">
        <v>98.715637207031193</v>
      </c>
      <c r="BF104">
        <v>98.573753356933594</v>
      </c>
      <c r="BG104">
        <v>98.908317565917997</v>
      </c>
      <c r="BH104">
        <v>99.490768432617202</v>
      </c>
      <c r="BI104">
        <v>98.790939331054702</v>
      </c>
      <c r="BJ104">
        <v>99.232109069824205</v>
      </c>
      <c r="BK104">
        <v>98.881210327148395</v>
      </c>
      <c r="BL104">
        <v>99.001510620117202</v>
      </c>
      <c r="BM104">
        <v>99.488670349121094</v>
      </c>
      <c r="BN104">
        <v>99.744148254394503</v>
      </c>
      <c r="BO104">
        <v>100.52797698974599</v>
      </c>
      <c r="BP104">
        <v>101.157791137695</v>
      </c>
    </row>
    <row r="105" spans="1:70" x14ac:dyDescent="0.3">
      <c r="A105" t="s">
        <v>122</v>
      </c>
      <c r="B105" t="s">
        <v>340</v>
      </c>
      <c r="C105" t="s">
        <v>544</v>
      </c>
      <c r="D105" t="s">
        <v>545</v>
      </c>
      <c r="P105">
        <v>52.149250030517599</v>
      </c>
      <c r="Q105">
        <v>54.506061553955099</v>
      </c>
      <c r="R105">
        <v>56.1522216796875</v>
      </c>
      <c r="S105">
        <v>57.814239501953097</v>
      </c>
      <c r="T105">
        <v>59.277381896972699</v>
      </c>
      <c r="U105">
        <v>62.796409606933601</v>
      </c>
      <c r="V105">
        <v>63.273281097412102</v>
      </c>
      <c r="W105">
        <v>62.933418273925803</v>
      </c>
      <c r="X105">
        <v>62.966911315917997</v>
      </c>
      <c r="Y105">
        <v>67.652740478515597</v>
      </c>
      <c r="Z105">
        <v>73.274673461914105</v>
      </c>
      <c r="AA105">
        <v>73.355232238769503</v>
      </c>
      <c r="AB105">
        <v>78.716590881347699</v>
      </c>
      <c r="AC105">
        <v>83.281311035156193</v>
      </c>
      <c r="AD105">
        <v>85.207679748535199</v>
      </c>
      <c r="AE105">
        <v>88.721900939941406</v>
      </c>
      <c r="AF105">
        <v>75.963661193847699</v>
      </c>
      <c r="AK105">
        <v>82.658416748046903</v>
      </c>
      <c r="AL105">
        <v>86.943511962890597</v>
      </c>
      <c r="AM105">
        <v>92.889839172363295</v>
      </c>
      <c r="AN105">
        <v>99.27197265625</v>
      </c>
      <c r="AO105">
        <v>106.15453338623</v>
      </c>
      <c r="AP105">
        <v>113.62979888916</v>
      </c>
      <c r="AQ105">
        <v>115.84243011474599</v>
      </c>
      <c r="BI105">
        <v>183.98944024466601</v>
      </c>
    </row>
    <row r="106" spans="1:70" x14ac:dyDescent="0.3">
      <c r="A106" t="s">
        <v>125</v>
      </c>
      <c r="B106" t="s">
        <v>343</v>
      </c>
      <c r="C106" t="s">
        <v>544</v>
      </c>
      <c r="D106" t="s">
        <v>545</v>
      </c>
      <c r="AS106">
        <v>101.967720031738</v>
      </c>
      <c r="AT106">
        <v>101.178359985352</v>
      </c>
      <c r="AU106">
        <v>101.256103515625</v>
      </c>
      <c r="AV106">
        <v>101.32924652099599</v>
      </c>
      <c r="AW106">
        <v>100.859748840332</v>
      </c>
      <c r="AX106">
        <v>100.98248291015599</v>
      </c>
      <c r="AY106">
        <v>101.50180816650401</v>
      </c>
      <c r="AZ106">
        <v>101.52033233642599</v>
      </c>
      <c r="BA106">
        <v>101.747993469238</v>
      </c>
      <c r="BB106">
        <v>100.920570373535</v>
      </c>
      <c r="BC106">
        <v>100.467422485352</v>
      </c>
      <c r="BD106">
        <v>100.100288391113</v>
      </c>
      <c r="BE106">
        <v>101.06996917724599</v>
      </c>
      <c r="BF106">
        <v>100.705917358398</v>
      </c>
      <c r="BG106">
        <v>101.31443786621099</v>
      </c>
      <c r="BH106">
        <v>100.827682495117</v>
      </c>
      <c r="BI106">
        <v>99.028633117675795</v>
      </c>
      <c r="BJ106">
        <v>98.431266784667997</v>
      </c>
      <c r="BK106">
        <v>96.752212524414105</v>
      </c>
      <c r="BL106">
        <v>96.620880126953097</v>
      </c>
      <c r="BM106">
        <v>97.174942016601605</v>
      </c>
      <c r="BN106">
        <v>101.45842742919901</v>
      </c>
      <c r="BO106">
        <v>103.47647857666</v>
      </c>
      <c r="BP106">
        <v>103.570762634277</v>
      </c>
    </row>
    <row r="107" spans="1:70" x14ac:dyDescent="0.3">
      <c r="A107" t="s">
        <v>573</v>
      </c>
      <c r="B107" t="s">
        <v>574</v>
      </c>
      <c r="C107" t="s">
        <v>544</v>
      </c>
      <c r="D107" t="s">
        <v>545</v>
      </c>
      <c r="O107">
        <v>102.092651367188</v>
      </c>
      <c r="P107">
        <v>82.405456542968807</v>
      </c>
      <c r="Q107">
        <v>82.607498168945298</v>
      </c>
      <c r="R107">
        <v>84.959907531738295</v>
      </c>
      <c r="S107">
        <v>85.398246765136705</v>
      </c>
      <c r="T107">
        <v>88.255882263183594</v>
      </c>
      <c r="U107">
        <v>90.549728393554702</v>
      </c>
      <c r="V107">
        <v>91.482460021972699</v>
      </c>
      <c r="W107">
        <v>90.404762268066406</v>
      </c>
      <c r="X107">
        <v>91.112342834472699</v>
      </c>
      <c r="Y107">
        <v>92.537559509277301</v>
      </c>
      <c r="Z107">
        <v>93.921318054199205</v>
      </c>
      <c r="AA107">
        <v>95.470619201660199</v>
      </c>
      <c r="AB107">
        <v>97.157081604003906</v>
      </c>
      <c r="AC107">
        <v>99.236709594726605</v>
      </c>
      <c r="AD107">
        <v>101.498809814453</v>
      </c>
      <c r="AE107">
        <v>103.13215637207</v>
      </c>
      <c r="AF107">
        <v>104.153686523438</v>
      </c>
      <c r="AG107">
        <v>104.894813537598</v>
      </c>
      <c r="AH107">
        <v>105.080947875977</v>
      </c>
      <c r="AI107">
        <v>104.50763702392599</v>
      </c>
      <c r="AJ107">
        <v>103.80979156494099</v>
      </c>
      <c r="AK107">
        <v>103.519203186035</v>
      </c>
      <c r="AL107">
        <v>104.00991821289099</v>
      </c>
      <c r="AM107">
        <v>104.66673278808599</v>
      </c>
      <c r="AN107">
        <v>103.79419708252</v>
      </c>
      <c r="AO107">
        <v>104.015632629395</v>
      </c>
      <c r="AP107">
        <v>105.210342407227</v>
      </c>
      <c r="AQ107">
        <v>104.038383483887</v>
      </c>
      <c r="AR107">
        <v>106.25644683837901</v>
      </c>
      <c r="AS107">
        <v>106.66729736328099</v>
      </c>
      <c r="AT107">
        <v>106.493057250977</v>
      </c>
      <c r="AU107">
        <v>106.08106994628901</v>
      </c>
      <c r="AV107">
        <v>107.63027954101599</v>
      </c>
      <c r="AW107">
        <v>107.550323486328</v>
      </c>
      <c r="AX107">
        <v>107.032989501953</v>
      </c>
      <c r="AY107">
        <v>106.682983398438</v>
      </c>
      <c r="AZ107">
        <v>108.11775970459</v>
      </c>
      <c r="BA107">
        <v>108.309280395508</v>
      </c>
      <c r="BB107">
        <v>107.860893249512</v>
      </c>
      <c r="BC107">
        <v>107.380897521973</v>
      </c>
      <c r="BD107">
        <v>106.66024017334</v>
      </c>
      <c r="BE107">
        <v>107.28347015380901</v>
      </c>
      <c r="BF107">
        <v>107.99080657959</v>
      </c>
      <c r="BG107">
        <v>105.744148254395</v>
      </c>
      <c r="BH107">
        <v>105.501106262207</v>
      </c>
      <c r="BI107">
        <v>107.111763000488</v>
      </c>
      <c r="BJ107">
        <v>106.233261108398</v>
      </c>
      <c r="BK107">
        <v>100.99626159668</v>
      </c>
      <c r="BL107">
        <v>100.436531066895</v>
      </c>
      <c r="BM107">
        <v>101.02011108398401</v>
      </c>
      <c r="BN107">
        <v>101.18914794921901</v>
      </c>
      <c r="BO107">
        <v>103.483993530273</v>
      </c>
      <c r="BP107">
        <v>103.50486755371099</v>
      </c>
      <c r="BQ107">
        <v>105.780838012695</v>
      </c>
    </row>
    <row r="108" spans="1:70" x14ac:dyDescent="0.3">
      <c r="A108" t="s">
        <v>575</v>
      </c>
      <c r="B108" t="s">
        <v>576</v>
      </c>
      <c r="C108" t="s">
        <v>544</v>
      </c>
      <c r="D108" t="s">
        <v>545</v>
      </c>
      <c r="O108">
        <v>92.7952880859375</v>
      </c>
      <c r="P108">
        <v>76.777412414550795</v>
      </c>
      <c r="Q108">
        <v>77.378601074218807</v>
      </c>
      <c r="R108">
        <v>79.786163330078097</v>
      </c>
      <c r="S108">
        <v>80.440391540527301</v>
      </c>
      <c r="T108">
        <v>82.976547241210895</v>
      </c>
      <c r="U108">
        <v>84.997817993164105</v>
      </c>
      <c r="V108">
        <v>86.115638732910199</v>
      </c>
      <c r="W108">
        <v>85.629341125488295</v>
      </c>
      <c r="X108">
        <v>86.683113098144503</v>
      </c>
      <c r="Y108">
        <v>88.133811950683594</v>
      </c>
      <c r="Z108">
        <v>89.364593505859403</v>
      </c>
      <c r="AA108">
        <v>91.125053405761705</v>
      </c>
      <c r="AB108">
        <v>92.461250305175795</v>
      </c>
      <c r="AC108">
        <v>93.847648620605497</v>
      </c>
      <c r="AD108">
        <v>95.052421569824205</v>
      </c>
      <c r="AE108">
        <v>95.483612060546903</v>
      </c>
      <c r="AF108">
        <v>95.979606628417997</v>
      </c>
      <c r="AG108">
        <v>96.544181823730497</v>
      </c>
      <c r="AH108">
        <v>96.222473144531193</v>
      </c>
      <c r="AI108">
        <v>95.586799621582003</v>
      </c>
      <c r="AJ108">
        <v>95.360191345214801</v>
      </c>
      <c r="AK108">
        <v>95.243186950683594</v>
      </c>
      <c r="AL108">
        <v>95.837081909179702</v>
      </c>
      <c r="AM108">
        <v>96.432403564453097</v>
      </c>
      <c r="AN108">
        <v>95.854179382324205</v>
      </c>
      <c r="AO108">
        <v>95.748962402343807</v>
      </c>
      <c r="AP108">
        <v>97.156898498535199</v>
      </c>
      <c r="AQ108">
        <v>96.484558105468807</v>
      </c>
      <c r="AR108">
        <v>98.005966186523395</v>
      </c>
      <c r="AS108">
        <v>98.682067871093807</v>
      </c>
      <c r="AT108">
        <v>98.743133544921903</v>
      </c>
      <c r="AU108">
        <v>99.085350036621094</v>
      </c>
      <c r="AV108">
        <v>100.737106323242</v>
      </c>
      <c r="AW108">
        <v>101.412147521973</v>
      </c>
      <c r="AX108">
        <v>101.55486297607401</v>
      </c>
      <c r="AY108">
        <v>101.52458953857401</v>
      </c>
      <c r="AZ108">
        <v>102.611930847168</v>
      </c>
      <c r="BA108">
        <v>102.82016754150401</v>
      </c>
      <c r="BB108">
        <v>102.64910888671901</v>
      </c>
      <c r="BC108">
        <v>102.4609375</v>
      </c>
      <c r="BD108">
        <v>102.34335327148401</v>
      </c>
      <c r="BE108">
        <v>102.943969726562</v>
      </c>
      <c r="BF108">
        <v>103.16951751709</v>
      </c>
      <c r="BG108">
        <v>101.681610107422</v>
      </c>
      <c r="BH108">
        <v>100.988311767578</v>
      </c>
      <c r="BI108">
        <v>102.221817016602</v>
      </c>
      <c r="BJ108">
        <v>101.76454925537099</v>
      </c>
      <c r="BK108">
        <v>98.892738342285199</v>
      </c>
      <c r="BL108">
        <v>98.915252685546903</v>
      </c>
      <c r="BM108">
        <v>99.493331909179702</v>
      </c>
      <c r="BN108">
        <v>99.400390625</v>
      </c>
      <c r="BO108">
        <v>100.477813720703</v>
      </c>
      <c r="BP108">
        <v>100.834548950195</v>
      </c>
      <c r="BQ108">
        <v>102.43804931640599</v>
      </c>
    </row>
    <row r="109" spans="1:70" x14ac:dyDescent="0.3">
      <c r="A109" t="s">
        <v>577</v>
      </c>
      <c r="B109" t="s">
        <v>578</v>
      </c>
      <c r="C109" t="s">
        <v>544</v>
      </c>
      <c r="D109" t="s">
        <v>545</v>
      </c>
      <c r="O109">
        <v>54.891231536865199</v>
      </c>
      <c r="P109">
        <v>53.605228424072301</v>
      </c>
      <c r="Q109">
        <v>55.670059204101598</v>
      </c>
      <c r="R109">
        <v>58.066818237304702</v>
      </c>
      <c r="S109">
        <v>59.439041137695298</v>
      </c>
      <c r="T109">
        <v>60.959999084472699</v>
      </c>
      <c r="U109">
        <v>62.350929260253899</v>
      </c>
      <c r="V109">
        <v>64.523200988769503</v>
      </c>
      <c r="W109">
        <v>66.712333679199205</v>
      </c>
      <c r="X109">
        <v>69.470672607421903</v>
      </c>
      <c r="Y109">
        <v>71.320838928222699</v>
      </c>
      <c r="Z109">
        <v>72.447532653808594</v>
      </c>
      <c r="AA109">
        <v>75.397369384765597</v>
      </c>
      <c r="AB109">
        <v>76.119491577148395</v>
      </c>
      <c r="AC109">
        <v>75.776832580566406</v>
      </c>
      <c r="AD109">
        <v>74.291862487792997</v>
      </c>
      <c r="AE109">
        <v>71.777511596679702</v>
      </c>
      <c r="AF109">
        <v>71.501136779785199</v>
      </c>
      <c r="AG109">
        <v>72.159339904785199</v>
      </c>
      <c r="AH109">
        <v>70.865753173828097</v>
      </c>
      <c r="AI109">
        <v>70.403457641601605</v>
      </c>
      <c r="AJ109">
        <v>71.8321533203125</v>
      </c>
      <c r="AK109">
        <v>72.484649658203097</v>
      </c>
      <c r="AL109">
        <v>73.681480407714801</v>
      </c>
      <c r="AM109">
        <v>74.364570617675795</v>
      </c>
      <c r="AN109">
        <v>74.838386535644503</v>
      </c>
      <c r="AO109">
        <v>74.102508544921903</v>
      </c>
      <c r="AP109">
        <v>76.339508056640597</v>
      </c>
      <c r="AQ109">
        <v>77.278152465820298</v>
      </c>
      <c r="AR109">
        <v>77.612106323242202</v>
      </c>
      <c r="AS109">
        <v>79.631301879882798</v>
      </c>
      <c r="AT109">
        <v>80.8172607421875</v>
      </c>
      <c r="AU109">
        <v>83.541893005371094</v>
      </c>
      <c r="AV109">
        <v>86.013687133789105</v>
      </c>
      <c r="AW109">
        <v>88.112701416015597</v>
      </c>
      <c r="AX109">
        <v>89.989822387695298</v>
      </c>
      <c r="AY109">
        <v>90.947959899902301</v>
      </c>
      <c r="AZ109">
        <v>91.582069396972699</v>
      </c>
      <c r="BA109">
        <v>92.095680236816406</v>
      </c>
      <c r="BB109">
        <v>92.721008300781193</v>
      </c>
      <c r="BC109">
        <v>93.291297912597699</v>
      </c>
      <c r="BD109">
        <v>94.430236816406193</v>
      </c>
      <c r="BE109">
        <v>95.150711059570298</v>
      </c>
      <c r="BF109">
        <v>94.695549011230497</v>
      </c>
      <c r="BG109">
        <v>94.679130554199205</v>
      </c>
      <c r="BH109">
        <v>93.325630187988295</v>
      </c>
      <c r="BI109">
        <v>94.020149230957003</v>
      </c>
      <c r="BJ109">
        <v>94.361312866210895</v>
      </c>
      <c r="BK109">
        <v>95.446701049804702</v>
      </c>
      <c r="BL109">
        <v>96.439453125</v>
      </c>
      <c r="BM109">
        <v>97.037780761718807</v>
      </c>
      <c r="BN109">
        <v>96.552497863769503</v>
      </c>
      <c r="BO109">
        <v>95.754432678222699</v>
      </c>
      <c r="BP109">
        <v>96.676132202148395</v>
      </c>
      <c r="BQ109">
        <v>97.268623352050795</v>
      </c>
    </row>
    <row r="110" spans="1:70" x14ac:dyDescent="0.3">
      <c r="A110" t="s">
        <v>579</v>
      </c>
      <c r="B110" t="s">
        <v>580</v>
      </c>
      <c r="C110" t="s">
        <v>544</v>
      </c>
      <c r="D110" t="s">
        <v>545</v>
      </c>
      <c r="O110">
        <v>55.7724609375</v>
      </c>
      <c r="P110">
        <v>56.665729522705099</v>
      </c>
      <c r="Q110">
        <v>58.500759124755902</v>
      </c>
      <c r="R110">
        <v>60.139640808105497</v>
      </c>
      <c r="S110">
        <v>63.643009185791001</v>
      </c>
      <c r="T110">
        <v>63.859531402587898</v>
      </c>
      <c r="U110">
        <v>63.667839050292997</v>
      </c>
      <c r="V110">
        <v>67.650543212890597</v>
      </c>
      <c r="W110">
        <v>70.496627807617202</v>
      </c>
      <c r="X110">
        <v>76.797958374023395</v>
      </c>
      <c r="Y110">
        <v>79.558166503906193</v>
      </c>
      <c r="Z110">
        <v>79.685867309570298</v>
      </c>
      <c r="AA110">
        <v>87.175109863281193</v>
      </c>
      <c r="AB110">
        <v>88.079719543457003</v>
      </c>
      <c r="AC110">
        <v>87.271842956542997</v>
      </c>
      <c r="AD110">
        <v>85.116416931152301</v>
      </c>
      <c r="AE110">
        <v>78.006042480468807</v>
      </c>
      <c r="AF110">
        <v>79.222831726074205</v>
      </c>
      <c r="AG110">
        <v>77.115257263183594</v>
      </c>
      <c r="AH110">
        <v>73.934738159179702</v>
      </c>
      <c r="AI110">
        <v>74.358772277832003</v>
      </c>
      <c r="AJ110">
        <v>74.351837158203097</v>
      </c>
      <c r="AK110">
        <v>75.590133666992202</v>
      </c>
      <c r="AL110">
        <v>77.160232543945298</v>
      </c>
      <c r="AM110">
        <v>77.372688293457003</v>
      </c>
      <c r="AN110">
        <v>76.126159667968807</v>
      </c>
      <c r="AO110">
        <v>73.568359375</v>
      </c>
      <c r="AP110">
        <v>75.811111450195298</v>
      </c>
      <c r="AQ110">
        <v>77.820510864257798</v>
      </c>
      <c r="AR110">
        <v>79.543601989746094</v>
      </c>
      <c r="AS110">
        <v>81.879188537597699</v>
      </c>
      <c r="AT110">
        <v>81.808296203613295</v>
      </c>
      <c r="AU110">
        <v>81.583503723144503</v>
      </c>
      <c r="AV110">
        <v>83.568092346191406</v>
      </c>
      <c r="AW110">
        <v>85.543067932128906</v>
      </c>
      <c r="AX110">
        <v>86.767776489257798</v>
      </c>
      <c r="AY110">
        <v>85.282272338867202</v>
      </c>
      <c r="AZ110">
        <v>84.452331542968807</v>
      </c>
      <c r="BA110">
        <v>81.371292114257798</v>
      </c>
      <c r="BB110">
        <v>82.272911071777301</v>
      </c>
      <c r="BC110">
        <v>83.020606994628906</v>
      </c>
      <c r="BD110">
        <v>84.215011596679702</v>
      </c>
      <c r="BE110">
        <v>85.196350097656193</v>
      </c>
      <c r="BF110">
        <v>85.537033081054702</v>
      </c>
      <c r="BG110">
        <v>85.193412780761705</v>
      </c>
      <c r="BH110">
        <v>83.111351013183594</v>
      </c>
      <c r="BI110">
        <v>84.252838134765597</v>
      </c>
      <c r="BJ110">
        <v>84.072021484375</v>
      </c>
      <c r="BK110">
        <v>85.245452880859403</v>
      </c>
      <c r="BL110">
        <v>86.314178466796903</v>
      </c>
      <c r="BM110">
        <v>86.959411621093807</v>
      </c>
      <c r="BN110">
        <v>86.677207946777301</v>
      </c>
      <c r="BO110">
        <v>87.881179809570298</v>
      </c>
      <c r="BP110">
        <v>90.194503784179702</v>
      </c>
      <c r="BQ110">
        <v>91.090316772460895</v>
      </c>
    </row>
    <row r="111" spans="1:70" x14ac:dyDescent="0.3">
      <c r="A111" t="s">
        <v>128</v>
      </c>
      <c r="B111" t="s">
        <v>346</v>
      </c>
      <c r="C111" t="s">
        <v>544</v>
      </c>
      <c r="D111" t="s">
        <v>545</v>
      </c>
      <c r="O111">
        <v>84.181022644042997</v>
      </c>
      <c r="P111">
        <v>84.948196411132798</v>
      </c>
      <c r="Q111">
        <v>85.588813781738295</v>
      </c>
      <c r="R111">
        <v>85.621742248535199</v>
      </c>
      <c r="S111">
        <v>84.397201538085895</v>
      </c>
      <c r="T111">
        <v>86.435600280761705</v>
      </c>
      <c r="U111">
        <v>89.028221130371094</v>
      </c>
      <c r="V111">
        <v>91.532737731933594</v>
      </c>
      <c r="W111">
        <v>99.673690795898395</v>
      </c>
      <c r="Z111">
        <v>109.634269714355</v>
      </c>
      <c r="AA111">
        <v>114.457229614258</v>
      </c>
      <c r="AB111">
        <v>116.972297668457</v>
      </c>
      <c r="AC111">
        <v>120.102462768555</v>
      </c>
      <c r="AD111">
        <v>121.85601806640599</v>
      </c>
      <c r="AE111">
        <v>120.13095855712901</v>
      </c>
      <c r="AF111">
        <v>118.521118164062</v>
      </c>
      <c r="AG111">
        <v>117.328399658203</v>
      </c>
      <c r="AH111">
        <v>116.410507202148</v>
      </c>
      <c r="AI111">
        <v>114.242050170898</v>
      </c>
      <c r="AJ111">
        <v>112.32138061523401</v>
      </c>
      <c r="AK111">
        <v>110.81992340087901</v>
      </c>
      <c r="AL111">
        <v>110.764526367188</v>
      </c>
      <c r="AM111">
        <v>112.16429138183599</v>
      </c>
      <c r="AN111">
        <v>112.02646636962901</v>
      </c>
      <c r="AO111">
        <v>111.440757751465</v>
      </c>
      <c r="AP111">
        <v>111.167846679688</v>
      </c>
      <c r="AQ111">
        <v>112.03003692627</v>
      </c>
      <c r="AR111">
        <v>112.157676696777</v>
      </c>
      <c r="AS111">
        <v>108.99359130859401</v>
      </c>
      <c r="AT111">
        <v>109.43041229248</v>
      </c>
      <c r="AU111">
        <v>110.116897583008</v>
      </c>
      <c r="AV111">
        <v>110.17665863037099</v>
      </c>
      <c r="AW111">
        <v>109.678840637207</v>
      </c>
      <c r="AX111">
        <v>109.01708984375</v>
      </c>
      <c r="AY111">
        <v>107.67253875732401</v>
      </c>
      <c r="AZ111">
        <v>110.42172241210901</v>
      </c>
      <c r="BA111">
        <v>109.33367919921901</v>
      </c>
      <c r="BB111">
        <v>110.99228668212901</v>
      </c>
      <c r="BC111">
        <v>113.01077507598301</v>
      </c>
      <c r="BD111">
        <v>114.684137554242</v>
      </c>
      <c r="BE111">
        <v>115.201069565404</v>
      </c>
      <c r="BF111">
        <v>111.656675108204</v>
      </c>
      <c r="BG111">
        <v>109.659608599994</v>
      </c>
      <c r="BH111">
        <v>107.983525766989</v>
      </c>
      <c r="BI111">
        <v>105.922391949136</v>
      </c>
      <c r="BJ111">
        <v>104.382521256166</v>
      </c>
      <c r="BK111">
        <v>103.299542869882</v>
      </c>
      <c r="BL111">
        <v>101.26468582586899</v>
      </c>
      <c r="BM111">
        <v>100.951933675872</v>
      </c>
      <c r="BN111">
        <v>100.309665446849</v>
      </c>
      <c r="BO111">
        <v>98.700873046361096</v>
      </c>
      <c r="BP111">
        <v>98.156627572690397</v>
      </c>
      <c r="BQ111">
        <v>100.036318150714</v>
      </c>
      <c r="BR111">
        <v>100.37142869737499</v>
      </c>
    </row>
    <row r="112" spans="1:70" x14ac:dyDescent="0.3">
      <c r="A112" t="s">
        <v>581</v>
      </c>
      <c r="B112" t="s">
        <v>582</v>
      </c>
      <c r="C112" t="s">
        <v>544</v>
      </c>
      <c r="D112" t="s">
        <v>545</v>
      </c>
      <c r="O112">
        <v>54.498859405517599</v>
      </c>
      <c r="P112">
        <v>52.277210235595703</v>
      </c>
      <c r="Q112">
        <v>54.410430908203097</v>
      </c>
      <c r="R112">
        <v>57.129661560058601</v>
      </c>
      <c r="S112">
        <v>57.530559539794901</v>
      </c>
      <c r="T112">
        <v>59.619800567627003</v>
      </c>
      <c r="U112">
        <v>61.708400726318402</v>
      </c>
      <c r="V112">
        <v>63.047691345214801</v>
      </c>
      <c r="W112">
        <v>64.941833496093807</v>
      </c>
      <c r="X112">
        <v>66.050010681152301</v>
      </c>
      <c r="Y112">
        <v>67.442230224609403</v>
      </c>
      <c r="Z112">
        <v>68.986389160156193</v>
      </c>
      <c r="AA112">
        <v>69.615089416503906</v>
      </c>
      <c r="AB112">
        <v>70.158531188964801</v>
      </c>
      <c r="AC112">
        <v>69.959373474121094</v>
      </c>
      <c r="AD112">
        <v>68.742286682128906</v>
      </c>
      <c r="AE112">
        <v>68.523529052734403</v>
      </c>
      <c r="AF112">
        <v>67.463172912597699</v>
      </c>
      <c r="AG112">
        <v>69.490211486816406</v>
      </c>
      <c r="AH112">
        <v>69.188903808593807</v>
      </c>
      <c r="AI112">
        <v>68.256553649902301</v>
      </c>
      <c r="AJ112">
        <v>70.336448669433594</v>
      </c>
      <c r="AK112">
        <v>70.631126403808594</v>
      </c>
      <c r="AL112">
        <v>71.546333312988295</v>
      </c>
      <c r="AM112">
        <v>72.490081787109403</v>
      </c>
      <c r="AN112">
        <v>73.858451843261705</v>
      </c>
      <c r="AO112">
        <v>74.092613220214801</v>
      </c>
      <c r="AP112">
        <v>76.280006408691406</v>
      </c>
      <c r="AQ112">
        <v>76.643829345703097</v>
      </c>
      <c r="AR112">
        <v>76.283721923828097</v>
      </c>
      <c r="AS112">
        <v>78.076248168945298</v>
      </c>
      <c r="AT112">
        <v>79.927848815917997</v>
      </c>
      <c r="AU112">
        <v>84.1138916015625</v>
      </c>
      <c r="AV112">
        <v>86.666938781738295</v>
      </c>
      <c r="AW112">
        <v>88.734916687011705</v>
      </c>
      <c r="AX112">
        <v>90.857383728027301</v>
      </c>
      <c r="AY112">
        <v>92.999130249023395</v>
      </c>
      <c r="AZ112">
        <v>94.351692199707003</v>
      </c>
      <c r="BA112">
        <v>96.765792846679702</v>
      </c>
      <c r="BB112">
        <v>97.274452209472699</v>
      </c>
      <c r="BC112">
        <v>97.894523620605497</v>
      </c>
      <c r="BD112">
        <v>99.132240295410199</v>
      </c>
      <c r="BE112">
        <v>99.844497680664105</v>
      </c>
      <c r="BF112">
        <v>99.066238403320298</v>
      </c>
      <c r="BG112">
        <v>99.295753479003906</v>
      </c>
      <c r="BH112">
        <v>98.427467346191406</v>
      </c>
      <c r="BI112">
        <v>98.983802795410199</v>
      </c>
      <c r="BJ112">
        <v>99.630531311035199</v>
      </c>
      <c r="BK112">
        <v>100.65756225585901</v>
      </c>
      <c r="BL112">
        <v>101.58535003662099</v>
      </c>
      <c r="BM112">
        <v>102.12758636474599</v>
      </c>
      <c r="BN112">
        <v>101.443641662598</v>
      </c>
      <c r="BO112">
        <v>99.604591369628906</v>
      </c>
      <c r="BP112">
        <v>99.917037963867202</v>
      </c>
      <c r="BQ112">
        <v>100.371231079102</v>
      </c>
    </row>
    <row r="113" spans="1:70" x14ac:dyDescent="0.3">
      <c r="A113" t="s">
        <v>132</v>
      </c>
      <c r="B113" t="s">
        <v>350</v>
      </c>
      <c r="C113" t="s">
        <v>544</v>
      </c>
      <c r="D113" t="s">
        <v>545</v>
      </c>
    </row>
    <row r="114" spans="1:70" x14ac:dyDescent="0.3">
      <c r="A114" t="s">
        <v>127</v>
      </c>
      <c r="B114" t="s">
        <v>345</v>
      </c>
      <c r="C114" t="s">
        <v>544</v>
      </c>
      <c r="D114" t="s">
        <v>545</v>
      </c>
      <c r="AS114">
        <v>98.808967590332003</v>
      </c>
      <c r="AT114">
        <v>96.9014892578125</v>
      </c>
      <c r="AU114">
        <v>97.447456359863295</v>
      </c>
      <c r="AV114">
        <v>105.66494750976599</v>
      </c>
      <c r="AZ114">
        <v>113.330406188965</v>
      </c>
      <c r="BA114">
        <v>113.827751159668</v>
      </c>
      <c r="BB114">
        <v>112.49079132080099</v>
      </c>
      <c r="BC114">
        <v>112.218696594238</v>
      </c>
      <c r="BD114">
        <v>110.07893371582</v>
      </c>
      <c r="BE114">
        <v>112.384407043457</v>
      </c>
      <c r="BF114">
        <v>114.29369354248</v>
      </c>
      <c r="BG114">
        <v>112.359672546387</v>
      </c>
      <c r="BH114">
        <v>113.541786193848</v>
      </c>
      <c r="BI114">
        <v>119.987350463867</v>
      </c>
      <c r="BJ114">
        <v>118.321411132812</v>
      </c>
      <c r="BK114">
        <v>101.438321198289</v>
      </c>
      <c r="BL114">
        <v>99.913527987289697</v>
      </c>
      <c r="BM114">
        <v>102.041421630559</v>
      </c>
      <c r="BN114">
        <v>103.202010704334</v>
      </c>
      <c r="BO114">
        <v>112.073964742492</v>
      </c>
      <c r="BP114">
        <v>113.164575709104</v>
      </c>
      <c r="BQ114">
        <v>120.52036856505499</v>
      </c>
    </row>
    <row r="115" spans="1:70" x14ac:dyDescent="0.3">
      <c r="A115" t="s">
        <v>583</v>
      </c>
      <c r="B115" t="s">
        <v>584</v>
      </c>
      <c r="C115" t="s">
        <v>544</v>
      </c>
      <c r="D115" t="s">
        <v>545</v>
      </c>
    </row>
    <row r="116" spans="1:70" x14ac:dyDescent="0.3">
      <c r="A116" t="s">
        <v>131</v>
      </c>
      <c r="B116" t="s">
        <v>349</v>
      </c>
      <c r="C116" t="s">
        <v>544</v>
      </c>
      <c r="D116" t="s">
        <v>545</v>
      </c>
      <c r="AS116">
        <v>102.282279968262</v>
      </c>
      <c r="AT116">
        <v>102.022430419922</v>
      </c>
      <c r="AU116">
        <v>102.82122802734401</v>
      </c>
      <c r="AV116">
        <v>102.718627929688</v>
      </c>
      <c r="AW116">
        <v>102.96354675293</v>
      </c>
      <c r="AX116">
        <v>103.077850341797</v>
      </c>
      <c r="AY116">
        <v>102.999237060547</v>
      </c>
      <c r="AZ116">
        <v>103.30853271484401</v>
      </c>
      <c r="BA116">
        <v>102.47560119628901</v>
      </c>
      <c r="BB116">
        <v>102.79596710205099</v>
      </c>
      <c r="BC116">
        <v>103.235488891602</v>
      </c>
      <c r="BD116">
        <v>103.37867736816401</v>
      </c>
      <c r="BE116">
        <v>102.11833953857401</v>
      </c>
      <c r="BF116">
        <v>101.95834350585901</v>
      </c>
      <c r="BG116">
        <v>101.542236328125</v>
      </c>
      <c r="BH116">
        <v>101.18463897705099</v>
      </c>
      <c r="BI116">
        <v>101.34149169921901</v>
      </c>
      <c r="BJ116">
        <v>100.852783203125</v>
      </c>
      <c r="BK116">
        <v>101.03288269043</v>
      </c>
      <c r="BL116">
        <v>100.98085784912099</v>
      </c>
      <c r="BM116">
        <v>101.368812561035</v>
      </c>
      <c r="BN116">
        <v>99.983848571777301</v>
      </c>
      <c r="BO116">
        <v>99.619941711425795</v>
      </c>
    </row>
    <row r="117" spans="1:70" x14ac:dyDescent="0.3">
      <c r="A117" t="s">
        <v>129</v>
      </c>
      <c r="B117" t="s">
        <v>347</v>
      </c>
      <c r="C117" t="s">
        <v>544</v>
      </c>
      <c r="D117" t="s">
        <v>545</v>
      </c>
      <c r="P117">
        <v>69.030281066894503</v>
      </c>
      <c r="Q117">
        <v>75.994422912597699</v>
      </c>
      <c r="R117">
        <v>79.060707092285199</v>
      </c>
      <c r="S117">
        <v>81.335517883300795</v>
      </c>
      <c r="T117">
        <v>89.102729797363295</v>
      </c>
      <c r="U117">
        <v>93.616470336914105</v>
      </c>
      <c r="V117">
        <v>97.102851867675795</v>
      </c>
      <c r="W117">
        <v>99.810821533203097</v>
      </c>
      <c r="X117">
        <v>85.864562988281193</v>
      </c>
      <c r="Y117">
        <v>94.7447509765625</v>
      </c>
      <c r="Z117">
        <v>90.571403503417997</v>
      </c>
      <c r="AA117">
        <v>96.888442993164105</v>
      </c>
      <c r="AB117">
        <v>98.815948486328097</v>
      </c>
      <c r="AC117">
        <v>100.893096923828</v>
      </c>
      <c r="AD117">
        <v>100.76023101806599</v>
      </c>
      <c r="AE117">
        <v>100.988403320312</v>
      </c>
      <c r="AF117">
        <v>100.67446136474599</v>
      </c>
      <c r="AG117">
        <v>101.62287139892599</v>
      </c>
      <c r="AH117">
        <v>101.649658203125</v>
      </c>
      <c r="AI117">
        <v>102.681770324707</v>
      </c>
      <c r="AJ117">
        <v>104.325881958008</v>
      </c>
      <c r="AK117">
        <v>105.229972839355</v>
      </c>
      <c r="AL117">
        <v>104.13761138916</v>
      </c>
      <c r="AM117">
        <v>102.663650512695</v>
      </c>
      <c r="AN117">
        <v>101.40403747558599</v>
      </c>
      <c r="AO117">
        <v>100.681259155273</v>
      </c>
      <c r="AP117">
        <v>98.255638122558594</v>
      </c>
      <c r="AQ117">
        <v>98.512863159179702</v>
      </c>
      <c r="AR117">
        <v>97.437156677246094</v>
      </c>
      <c r="AS117">
        <v>97.7706298828125</v>
      </c>
      <c r="AT117">
        <v>100.71092224121099</v>
      </c>
      <c r="AU117">
        <v>103.43717956543</v>
      </c>
      <c r="AV117">
        <v>106.779502868652</v>
      </c>
      <c r="AW117">
        <v>108.26007843017599</v>
      </c>
      <c r="AX117">
        <v>105.198722839355</v>
      </c>
      <c r="AY117">
        <v>102.88353729248</v>
      </c>
      <c r="AZ117">
        <v>99.747657775878906</v>
      </c>
      <c r="BA117">
        <v>99.212791442871094</v>
      </c>
      <c r="BB117">
        <v>99.288963317871094</v>
      </c>
      <c r="BC117">
        <v>98.408576965332003</v>
      </c>
      <c r="BD117">
        <v>99.0494384765625</v>
      </c>
      <c r="BE117">
        <v>99.128791809082003</v>
      </c>
      <c r="BF117">
        <v>111.42115020752</v>
      </c>
      <c r="BG117">
        <v>103.500160217285</v>
      </c>
      <c r="BH117">
        <v>104.11540985107401</v>
      </c>
      <c r="BI117">
        <v>105.82102203369099</v>
      </c>
      <c r="BJ117">
        <v>105.369766235352</v>
      </c>
      <c r="BL117">
        <v>105.45184326171901</v>
      </c>
      <c r="BM117">
        <v>104.680130004883</v>
      </c>
    </row>
    <row r="118" spans="1:70" x14ac:dyDescent="0.3">
      <c r="A118" t="s">
        <v>130</v>
      </c>
      <c r="B118" t="s">
        <v>348</v>
      </c>
      <c r="C118" t="s">
        <v>544</v>
      </c>
      <c r="D118" t="s">
        <v>545</v>
      </c>
      <c r="P118">
        <v>69.796897888183594</v>
      </c>
      <c r="Q118">
        <v>70.3651123046875</v>
      </c>
      <c r="R118">
        <v>70.985641479492202</v>
      </c>
      <c r="S118">
        <v>72.546119689941406</v>
      </c>
      <c r="T118">
        <v>75.771080017089801</v>
      </c>
      <c r="U118">
        <v>85.216293334960895</v>
      </c>
      <c r="V118">
        <v>90.326400756835895</v>
      </c>
      <c r="W118">
        <v>91.512062072753906</v>
      </c>
      <c r="X118">
        <v>106.03891754150401</v>
      </c>
      <c r="Y118">
        <v>108.890411376953</v>
      </c>
      <c r="Z118">
        <v>105.60556030273401</v>
      </c>
      <c r="AA118">
        <v>103.50415802002</v>
      </c>
      <c r="AB118">
        <v>100.198379516602</v>
      </c>
      <c r="AC118">
        <v>100.37628173828099</v>
      </c>
      <c r="AD118">
        <v>99.863189697265597</v>
      </c>
      <c r="AE118">
        <v>100.97695159912099</v>
      </c>
      <c r="AF118">
        <v>102.11337280273401</v>
      </c>
      <c r="AG118">
        <v>103.08627319335901</v>
      </c>
      <c r="AH118">
        <v>102.15281677246099</v>
      </c>
      <c r="AJ118">
        <v>110.970657348633</v>
      </c>
      <c r="AK118">
        <v>92.431083679199205</v>
      </c>
      <c r="AL118">
        <v>91.135147094726605</v>
      </c>
      <c r="AO118">
        <v>82.581588745117202</v>
      </c>
      <c r="AR118">
        <v>92.436439514160199</v>
      </c>
      <c r="AS118">
        <v>89.925941467285199</v>
      </c>
      <c r="AV118">
        <v>96.483123779296903</v>
      </c>
      <c r="AW118">
        <v>95.636001586914105</v>
      </c>
      <c r="AZ118">
        <v>104.57022857666</v>
      </c>
    </row>
    <row r="119" spans="1:70" x14ac:dyDescent="0.3">
      <c r="A119" t="s">
        <v>126</v>
      </c>
      <c r="B119" t="s">
        <v>344</v>
      </c>
      <c r="C119" t="s">
        <v>544</v>
      </c>
      <c r="D119" t="s">
        <v>545</v>
      </c>
      <c r="AS119">
        <v>99.137992858886705</v>
      </c>
      <c r="AT119">
        <v>99.325042724609403</v>
      </c>
      <c r="AU119">
        <v>98.890571594238295</v>
      </c>
      <c r="AV119">
        <v>99.058830261230497</v>
      </c>
      <c r="AW119">
        <v>99.107566833496094</v>
      </c>
      <c r="AX119">
        <v>99.184867858886705</v>
      </c>
      <c r="AY119">
        <v>98.897918701171903</v>
      </c>
      <c r="AZ119">
        <v>98.558509826660199</v>
      </c>
      <c r="BA119">
        <v>98.4482421875</v>
      </c>
      <c r="BB119">
        <v>98.401710510253906</v>
      </c>
      <c r="BC119">
        <v>98.830139160156193</v>
      </c>
      <c r="BD119">
        <v>98.755157470703097</v>
      </c>
      <c r="BE119">
        <v>98.832992553710895</v>
      </c>
      <c r="BF119">
        <v>98.787620544433594</v>
      </c>
      <c r="BG119">
        <v>98.770820617675795</v>
      </c>
      <c r="BH119">
        <v>98.686218261718807</v>
      </c>
      <c r="BI119">
        <v>98.953178405761705</v>
      </c>
      <c r="BJ119">
        <v>98.862411499023395</v>
      </c>
      <c r="BK119">
        <v>98.88671875</v>
      </c>
      <c r="BL119">
        <v>98.813430786132798</v>
      </c>
      <c r="BM119">
        <v>98.556121826171903</v>
      </c>
      <c r="BN119">
        <v>98.567291259765597</v>
      </c>
      <c r="BO119">
        <v>98.511642456054702</v>
      </c>
      <c r="BP119">
        <v>98.221832275390597</v>
      </c>
    </row>
    <row r="120" spans="1:70" x14ac:dyDescent="0.3">
      <c r="A120" t="s">
        <v>133</v>
      </c>
      <c r="B120" t="s">
        <v>351</v>
      </c>
      <c r="C120" t="s">
        <v>544</v>
      </c>
      <c r="D120" t="s">
        <v>545</v>
      </c>
      <c r="AS120">
        <v>98.220443725585895</v>
      </c>
      <c r="AT120">
        <v>97.640609741210895</v>
      </c>
      <c r="AU120">
        <v>97.061698913574205</v>
      </c>
      <c r="AV120">
        <v>96.581871032714801</v>
      </c>
      <c r="AW120">
        <v>96.451828002929702</v>
      </c>
      <c r="AX120">
        <v>95.504531860351605</v>
      </c>
      <c r="AY120">
        <v>95.383407592773395</v>
      </c>
      <c r="AZ120">
        <v>95.841239929199205</v>
      </c>
      <c r="BA120">
        <v>95.403007507324205</v>
      </c>
      <c r="BB120">
        <v>97.341270446777301</v>
      </c>
      <c r="BC120">
        <v>97.658630371093807</v>
      </c>
      <c r="BD120">
        <v>97.634613037109403</v>
      </c>
      <c r="BE120">
        <v>98.522186279296903</v>
      </c>
      <c r="BF120">
        <v>97.689781188964801</v>
      </c>
      <c r="BG120">
        <v>97.288299560546903</v>
      </c>
      <c r="BH120">
        <v>97.758773803710895</v>
      </c>
      <c r="BI120">
        <v>97.134483337402301</v>
      </c>
      <c r="BJ120">
        <v>96.931869506835895</v>
      </c>
      <c r="BK120">
        <v>96.493232727050795</v>
      </c>
      <c r="BL120">
        <v>96.270927429199205</v>
      </c>
      <c r="BM120">
        <v>96.374763488769503</v>
      </c>
      <c r="BN120">
        <v>96.248977661132798</v>
      </c>
      <c r="BO120">
        <v>96.312568664550795</v>
      </c>
      <c r="BP120">
        <v>96.485382080078097</v>
      </c>
    </row>
    <row r="121" spans="1:70" x14ac:dyDescent="0.3">
      <c r="A121" t="s">
        <v>134</v>
      </c>
      <c r="B121" t="s">
        <v>352</v>
      </c>
      <c r="C121" t="s">
        <v>544</v>
      </c>
      <c r="D121" t="s">
        <v>545</v>
      </c>
      <c r="AS121">
        <v>102.28849029541</v>
      </c>
      <c r="AT121">
        <v>101.998977661133</v>
      </c>
      <c r="AU121">
        <v>102.743858337402</v>
      </c>
      <c r="AV121">
        <v>103.36434173584</v>
      </c>
      <c r="AW121">
        <v>103.984909057617</v>
      </c>
      <c r="AX121">
        <v>103.975212097168</v>
      </c>
      <c r="AY121">
        <v>103.77815246582</v>
      </c>
      <c r="AZ121">
        <v>103.75441741943401</v>
      </c>
      <c r="BA121">
        <v>102.942947387695</v>
      </c>
      <c r="BB121">
        <v>101.48297882080099</v>
      </c>
      <c r="BC121">
        <v>100.804321289062</v>
      </c>
      <c r="BD121">
        <v>100.30283355712901</v>
      </c>
      <c r="BE121">
        <v>100.02899169921901</v>
      </c>
      <c r="BF121">
        <v>101.111892700195</v>
      </c>
      <c r="BG121">
        <v>100.75225830078099</v>
      </c>
      <c r="BH121">
        <v>100.37190246582</v>
      </c>
      <c r="BI121">
        <v>99.812767028808594</v>
      </c>
      <c r="BJ121">
        <v>102.803092956543</v>
      </c>
      <c r="BK121">
        <v>102.894989013672</v>
      </c>
      <c r="BL121">
        <v>102.95937347412099</v>
      </c>
      <c r="BM121">
        <v>102.636672973633</v>
      </c>
      <c r="BN121">
        <v>101.089881896973</v>
      </c>
      <c r="BO121">
        <v>101.56453704834</v>
      </c>
      <c r="BP121">
        <v>103.56601715087901</v>
      </c>
    </row>
    <row r="122" spans="1:70" x14ac:dyDescent="0.3">
      <c r="A122" t="s">
        <v>135</v>
      </c>
      <c r="B122" t="s">
        <v>353</v>
      </c>
      <c r="C122" t="s">
        <v>544</v>
      </c>
      <c r="D122" t="s">
        <v>545</v>
      </c>
      <c r="P122">
        <v>109.35178375244099</v>
      </c>
      <c r="Q122">
        <v>111.591743469238</v>
      </c>
      <c r="R122">
        <v>108.672409057617</v>
      </c>
      <c r="S122">
        <v>112.71092224121099</v>
      </c>
      <c r="T122">
        <v>106.153762817383</v>
      </c>
      <c r="U122">
        <v>106.490043640137</v>
      </c>
      <c r="V122">
        <v>105.95712280273401</v>
      </c>
      <c r="W122">
        <v>106.677841186523</v>
      </c>
      <c r="X122">
        <v>107.890991210938</v>
      </c>
      <c r="Y122">
        <v>105.8447265625</v>
      </c>
      <c r="Z122">
        <v>104.902717590332</v>
      </c>
      <c r="AA122">
        <v>106.226150512695</v>
      </c>
      <c r="AB122">
        <v>105.86305999755901</v>
      </c>
      <c r="AC122">
        <v>104.282279968262</v>
      </c>
      <c r="AD122">
        <v>102.529739379883</v>
      </c>
      <c r="AE122">
        <v>101.155349731445</v>
      </c>
      <c r="AF122">
        <v>102.461883544922</v>
      </c>
      <c r="AG122">
        <v>100.15773010253901</v>
      </c>
      <c r="AH122">
        <v>101.50872802734401</v>
      </c>
      <c r="AI122">
        <v>100.750381469727</v>
      </c>
      <c r="AJ122">
        <v>100.020919799805</v>
      </c>
      <c r="AL122">
        <v>96.677421569824205</v>
      </c>
      <c r="AR122">
        <v>91.028160095214801</v>
      </c>
      <c r="AS122">
        <v>92.054283142089801</v>
      </c>
      <c r="AT122">
        <v>91.743278503417997</v>
      </c>
      <c r="AU122">
        <v>91.628547668457003</v>
      </c>
      <c r="AV122">
        <v>90.568206787109403</v>
      </c>
      <c r="AW122">
        <v>93.249336242675795</v>
      </c>
      <c r="AX122">
        <v>93.735656738281193</v>
      </c>
      <c r="AZ122">
        <v>94.179489135742202</v>
      </c>
      <c r="BA122">
        <v>98.694007873535199</v>
      </c>
      <c r="BB122">
        <v>100.603439331055</v>
      </c>
      <c r="BC122">
        <v>97.169942150725106</v>
      </c>
      <c r="BD122">
        <v>97.673273504186994</v>
      </c>
      <c r="BE122">
        <v>97.340224725271</v>
      </c>
      <c r="BF122">
        <v>95.033233511065703</v>
      </c>
      <c r="BG122">
        <v>93.967002245033399</v>
      </c>
      <c r="BH122">
        <v>92.1031527692369</v>
      </c>
      <c r="BI122">
        <v>93.1394980981879</v>
      </c>
      <c r="BJ122">
        <v>91.362610317154704</v>
      </c>
      <c r="BK122">
        <v>94.911269734566901</v>
      </c>
      <c r="BL122">
        <v>93.228996276855497</v>
      </c>
      <c r="BM122">
        <v>90.949440002441406</v>
      </c>
      <c r="BN122">
        <v>92.376122628706099</v>
      </c>
      <c r="BO122">
        <v>93.268183428768907</v>
      </c>
      <c r="BP122">
        <v>87.737545171787602</v>
      </c>
    </row>
    <row r="123" spans="1:70" x14ac:dyDescent="0.3">
      <c r="A123" t="s">
        <v>137</v>
      </c>
      <c r="B123" t="s">
        <v>355</v>
      </c>
      <c r="C123" t="s">
        <v>544</v>
      </c>
      <c r="D123" t="s">
        <v>545</v>
      </c>
      <c r="AU123">
        <v>93.907653808593807</v>
      </c>
      <c r="AV123">
        <v>95.488853454589801</v>
      </c>
      <c r="AW123">
        <v>96.625251770019503</v>
      </c>
      <c r="AX123">
        <v>96.522033691406193</v>
      </c>
      <c r="AY123">
        <v>95.708511352539105</v>
      </c>
      <c r="AZ123">
        <v>93.890777587890597</v>
      </c>
      <c r="BA123">
        <v>91.744293212890597</v>
      </c>
      <c r="BC123">
        <v>89.690526477057603</v>
      </c>
      <c r="BD123">
        <v>90.373200562831499</v>
      </c>
      <c r="BE123">
        <v>90.931183104200599</v>
      </c>
      <c r="BF123">
        <v>93.716372755354897</v>
      </c>
      <c r="BG123">
        <v>97.611011265506505</v>
      </c>
      <c r="BI123">
        <v>98.427299647614603</v>
      </c>
      <c r="BJ123">
        <v>98.558948192495293</v>
      </c>
      <c r="BK123">
        <v>98.893922810934299</v>
      </c>
      <c r="BL123">
        <v>98.860333308342504</v>
      </c>
      <c r="BM123">
        <v>98.960533668867996</v>
      </c>
      <c r="BN123">
        <v>98.001749636373404</v>
      </c>
      <c r="BO123">
        <v>98.541267066326</v>
      </c>
      <c r="BP123">
        <v>98.299487329094902</v>
      </c>
      <c r="BQ123">
        <v>98.551624706923803</v>
      </c>
    </row>
    <row r="124" spans="1:70" x14ac:dyDescent="0.3">
      <c r="A124" t="s">
        <v>136</v>
      </c>
      <c r="B124" t="s">
        <v>354</v>
      </c>
      <c r="C124" t="s">
        <v>544</v>
      </c>
      <c r="D124" t="s">
        <v>545</v>
      </c>
      <c r="BF124">
        <v>102.255889892578</v>
      </c>
      <c r="BG124">
        <v>102.415283203125</v>
      </c>
      <c r="BH124">
        <v>102.41911315918</v>
      </c>
      <c r="BI124">
        <v>102.216911315918</v>
      </c>
      <c r="BJ124">
        <v>102.254829406738</v>
      </c>
      <c r="BK124">
        <v>102.099906921387</v>
      </c>
      <c r="BL124">
        <v>102.65228271484401</v>
      </c>
      <c r="BM124">
        <v>102.73683166503901</v>
      </c>
      <c r="BN124">
        <v>102.21832275390599</v>
      </c>
      <c r="BO124">
        <v>102.15870666503901</v>
      </c>
      <c r="BP124">
        <v>102.496421813965</v>
      </c>
    </row>
    <row r="125" spans="1:70" x14ac:dyDescent="0.3">
      <c r="A125" t="s">
        <v>138</v>
      </c>
      <c r="B125" t="s">
        <v>356</v>
      </c>
      <c r="C125" t="s">
        <v>544</v>
      </c>
      <c r="D125" t="s">
        <v>545</v>
      </c>
      <c r="Z125">
        <v>107.993217468262</v>
      </c>
      <c r="AE125">
        <v>114.48903656005901</v>
      </c>
      <c r="AH125">
        <v>111.29958343505901</v>
      </c>
      <c r="AI125">
        <v>111.81633758544901</v>
      </c>
      <c r="AJ125">
        <v>113.694061279297</v>
      </c>
      <c r="AK125">
        <v>113.98445892334</v>
      </c>
      <c r="AL125">
        <v>113.15936279296901</v>
      </c>
      <c r="AM125">
        <v>110.89501953125</v>
      </c>
      <c r="AN125">
        <v>92.602653503417997</v>
      </c>
      <c r="AO125">
        <v>93.587173461914105</v>
      </c>
      <c r="AP125">
        <v>94.646682739257798</v>
      </c>
      <c r="AQ125">
        <v>95.428451538085895</v>
      </c>
      <c r="AR125">
        <v>97.634231567382798</v>
      </c>
      <c r="AS125">
        <v>98.006637573242202</v>
      </c>
      <c r="AT125">
        <v>99.715446472167997</v>
      </c>
      <c r="AU125">
        <v>100.21135711669901</v>
      </c>
      <c r="AV125">
        <v>100.594848632812</v>
      </c>
      <c r="AW125">
        <v>101.440238952637</v>
      </c>
      <c r="AX125">
        <v>100.948692321777</v>
      </c>
      <c r="AY125">
        <v>99.852722167968807</v>
      </c>
      <c r="AZ125">
        <v>99.791641235351605</v>
      </c>
      <c r="BA125">
        <v>101.085159301758</v>
      </c>
      <c r="BB125">
        <v>99.488418579101605</v>
      </c>
      <c r="BC125">
        <v>98.665127168267105</v>
      </c>
      <c r="BD125">
        <v>98.200290536056997</v>
      </c>
      <c r="BE125">
        <v>95.673594152905594</v>
      </c>
      <c r="BF125">
        <v>94.800105481447503</v>
      </c>
      <c r="BG125">
        <v>94.658215356587107</v>
      </c>
      <c r="BH125">
        <v>95.075955706415897</v>
      </c>
      <c r="BI125">
        <v>95.558444656667504</v>
      </c>
      <c r="BJ125">
        <v>97.341881335474596</v>
      </c>
      <c r="BK125">
        <v>97.418791535514003</v>
      </c>
      <c r="BL125">
        <v>99.055230932629897</v>
      </c>
      <c r="BM125">
        <v>98.958859277591301</v>
      </c>
      <c r="BN125">
        <v>98.273388617364503</v>
      </c>
      <c r="BO125">
        <v>99.223902183156994</v>
      </c>
      <c r="BP125">
        <v>98.980449387313499</v>
      </c>
      <c r="BQ125">
        <v>97.536851600588605</v>
      </c>
      <c r="BR125">
        <v>97.332988440747997</v>
      </c>
    </row>
    <row r="126" spans="1:70" x14ac:dyDescent="0.3">
      <c r="A126" t="s">
        <v>139</v>
      </c>
      <c r="B126" t="s">
        <v>357</v>
      </c>
      <c r="C126" t="s">
        <v>544</v>
      </c>
      <c r="D126" t="s">
        <v>545</v>
      </c>
      <c r="O126">
        <v>60.2659912109375</v>
      </c>
      <c r="P126">
        <v>61.701240539550803</v>
      </c>
      <c r="Q126">
        <v>65.233108520507798</v>
      </c>
      <c r="R126">
        <v>67.907859802246094</v>
      </c>
      <c r="S126">
        <v>100.311813354492</v>
      </c>
      <c r="T126">
        <v>102.894416809082</v>
      </c>
      <c r="U126">
        <v>99.156311035156193</v>
      </c>
      <c r="V126">
        <v>98.909637451171903</v>
      </c>
      <c r="W126">
        <v>95.567932128906193</v>
      </c>
      <c r="X126">
        <v>115.58464050293</v>
      </c>
      <c r="Y126">
        <v>117.302932739258</v>
      </c>
      <c r="Z126">
        <v>115.05124664306599</v>
      </c>
      <c r="AA126">
        <v>117.921989440918</v>
      </c>
      <c r="AB126">
        <v>118.23065185546901</v>
      </c>
      <c r="AC126">
        <v>114.48309326171901</v>
      </c>
      <c r="AD126">
        <v>109.841903686523</v>
      </c>
      <c r="AE126">
        <v>109.913497924805</v>
      </c>
      <c r="AF126">
        <v>109.734260559082</v>
      </c>
      <c r="AG126">
        <v>108.00080871582</v>
      </c>
      <c r="AH126">
        <v>108.858200073242</v>
      </c>
      <c r="AI126">
        <v>105.313667297363</v>
      </c>
      <c r="AJ126">
        <v>103.02709197998</v>
      </c>
      <c r="AK126">
        <v>101.50138092041</v>
      </c>
      <c r="AL126">
        <v>100.392936706543</v>
      </c>
      <c r="AM126">
        <v>96.326629638671903</v>
      </c>
      <c r="AN126">
        <v>93.324241638183594</v>
      </c>
      <c r="AQ126">
        <v>92.918022155761705</v>
      </c>
      <c r="AR126">
        <v>90.696281433105497</v>
      </c>
      <c r="AS126">
        <v>94.257240295410199</v>
      </c>
      <c r="AT126">
        <v>95.150917053222699</v>
      </c>
      <c r="AU126">
        <v>89.249191284179702</v>
      </c>
      <c r="AV126">
        <v>103.90389251709</v>
      </c>
      <c r="AW126">
        <v>103.72943115234401</v>
      </c>
      <c r="AX126">
        <v>103.62956237793</v>
      </c>
      <c r="AY126">
        <v>101.201988220215</v>
      </c>
      <c r="AZ126">
        <v>107.582710266113</v>
      </c>
      <c r="BA126">
        <v>107.076469421387</v>
      </c>
      <c r="BB126">
        <v>107.94573974609401</v>
      </c>
      <c r="BE126">
        <v>111.42222668045601</v>
      </c>
      <c r="BG126">
        <v>107.141220092773</v>
      </c>
      <c r="BH126">
        <v>104.78009033203099</v>
      </c>
      <c r="BI126">
        <v>104.114852905273</v>
      </c>
      <c r="BJ126">
        <v>101.957891317521</v>
      </c>
      <c r="BK126">
        <v>99.770420205161003</v>
      </c>
      <c r="BL126">
        <v>77.513225498880303</v>
      </c>
      <c r="BM126">
        <v>91.954248602066798</v>
      </c>
      <c r="BN126">
        <v>93.7669067632864</v>
      </c>
      <c r="BO126">
        <v>98.551967362000994</v>
      </c>
      <c r="BP126">
        <v>98.248347580686101</v>
      </c>
    </row>
    <row r="127" spans="1:70" x14ac:dyDescent="0.3">
      <c r="A127" t="s">
        <v>145</v>
      </c>
      <c r="B127" t="s">
        <v>363</v>
      </c>
      <c r="C127" t="s">
        <v>544</v>
      </c>
      <c r="D127" t="s">
        <v>545</v>
      </c>
      <c r="Z127">
        <v>106.687492370605</v>
      </c>
      <c r="AE127">
        <v>116.251846313477</v>
      </c>
      <c r="AH127">
        <v>110.46148681640599</v>
      </c>
      <c r="AI127">
        <v>109.71852111816401</v>
      </c>
      <c r="AJ127">
        <v>109.020217895508</v>
      </c>
      <c r="AK127">
        <v>107.302169799805</v>
      </c>
      <c r="AL127">
        <v>106.10067749023401</v>
      </c>
      <c r="AM127">
        <v>105.37135314941401</v>
      </c>
      <c r="AN127">
        <v>104.584579467773</v>
      </c>
      <c r="AO127">
        <v>96.241897583007798</v>
      </c>
      <c r="AP127">
        <v>96.081848144531193</v>
      </c>
      <c r="AQ127">
        <v>95.312561035156193</v>
      </c>
      <c r="AR127">
        <v>95.520812988281193</v>
      </c>
      <c r="AS127">
        <v>94.701858520507798</v>
      </c>
      <c r="AT127">
        <v>93.927078247070298</v>
      </c>
      <c r="AU127">
        <v>93.423080444335895</v>
      </c>
      <c r="AV127">
        <v>93.440048217773395</v>
      </c>
      <c r="AW127">
        <v>94.650047302246094</v>
      </c>
      <c r="AX127">
        <v>95.299301147460895</v>
      </c>
      <c r="AY127">
        <v>96.662757873535199</v>
      </c>
      <c r="AZ127">
        <v>95.574226379394503</v>
      </c>
      <c r="BA127">
        <v>96.259017944335895</v>
      </c>
      <c r="BB127">
        <v>97.054382324218807</v>
      </c>
      <c r="BC127">
        <v>98.1180547707839</v>
      </c>
      <c r="BD127">
        <v>97.797961807657501</v>
      </c>
      <c r="BE127">
        <v>98.702532107946993</v>
      </c>
      <c r="BF127">
        <v>98.565723183163101</v>
      </c>
      <c r="BG127">
        <v>98.807423707852905</v>
      </c>
      <c r="BH127">
        <v>98.088925507007602</v>
      </c>
      <c r="BI127">
        <v>99.778294995073196</v>
      </c>
      <c r="BJ127">
        <v>100.80095768867101</v>
      </c>
      <c r="BK127">
        <v>99.826455114381005</v>
      </c>
      <c r="BL127">
        <v>98.938476892038395</v>
      </c>
      <c r="BM127">
        <v>96.210335479613704</v>
      </c>
      <c r="BN127">
        <v>96.374376634611806</v>
      </c>
      <c r="BO127">
        <v>96.744287506135095</v>
      </c>
      <c r="BP127">
        <v>98.096336052391905</v>
      </c>
      <c r="BQ127">
        <v>98.594956539718595</v>
      </c>
      <c r="BR127">
        <v>98.953542760813804</v>
      </c>
    </row>
    <row r="128" spans="1:70" x14ac:dyDescent="0.3">
      <c r="A128" t="s">
        <v>71</v>
      </c>
      <c r="B128" t="s">
        <v>289</v>
      </c>
      <c r="C128" t="s">
        <v>544</v>
      </c>
      <c r="D128" t="s">
        <v>545</v>
      </c>
      <c r="P128">
        <v>30.2818603515625</v>
      </c>
      <c r="Q128">
        <v>42.568111419677699</v>
      </c>
      <c r="R128">
        <v>41.3414306640625</v>
      </c>
      <c r="Z128">
        <v>138.12734985351599</v>
      </c>
      <c r="AA128">
        <v>168.68174743652301</v>
      </c>
      <c r="AB128">
        <v>189.94462585449199</v>
      </c>
      <c r="AC128">
        <v>198.88519287109401</v>
      </c>
      <c r="AD128">
        <v>197.12266540527301</v>
      </c>
      <c r="AE128">
        <v>192.89735412597699</v>
      </c>
      <c r="AF128">
        <v>173.47375488281199</v>
      </c>
      <c r="AG128">
        <v>152.256423950195</v>
      </c>
      <c r="AH128">
        <v>135.98110961914099</v>
      </c>
      <c r="AI128">
        <v>113.417427062988</v>
      </c>
      <c r="AJ128">
        <v>103.981986999512</v>
      </c>
      <c r="AM128">
        <v>104.67034912109401</v>
      </c>
      <c r="AN128">
        <v>99.208747863769503</v>
      </c>
      <c r="AP128">
        <v>95.866470336914105</v>
      </c>
      <c r="AQ128">
        <v>94.237380981445298</v>
      </c>
      <c r="AR128">
        <v>98.372489929199205</v>
      </c>
      <c r="AS128">
        <v>102.79273986816401</v>
      </c>
      <c r="AT128">
        <v>110.34294891357401</v>
      </c>
      <c r="AU128">
        <v>123.66854095459</v>
      </c>
      <c r="AV128">
        <v>126.51239013671901</v>
      </c>
      <c r="AW128">
        <v>129.02035522460901</v>
      </c>
      <c r="AX128">
        <v>129.55131530761699</v>
      </c>
      <c r="AY128">
        <v>128.404861450195</v>
      </c>
      <c r="AZ128">
        <v>127.717086791992</v>
      </c>
      <c r="BA128">
        <v>124.06601715087901</v>
      </c>
      <c r="BB128">
        <v>123.781600952148</v>
      </c>
      <c r="BC128">
        <v>123.357803344727</v>
      </c>
      <c r="BD128">
        <v>118.762440557356</v>
      </c>
      <c r="BE128">
        <v>115.41843697639</v>
      </c>
      <c r="BF128">
        <v>115.808136523857</v>
      </c>
      <c r="BG128">
        <v>108.942219609284</v>
      </c>
      <c r="BH128">
        <v>103.759672683505</v>
      </c>
      <c r="BI128">
        <v>101.734266788056</v>
      </c>
      <c r="BJ128">
        <v>100.69503505775999</v>
      </c>
      <c r="BK128">
        <v>99.673910844327395</v>
      </c>
      <c r="BL128">
        <v>100.480819545412</v>
      </c>
      <c r="BM128">
        <v>107.02101898193401</v>
      </c>
      <c r="BN128">
        <v>105.282475574163</v>
      </c>
      <c r="BO128">
        <v>106.331544381276</v>
      </c>
      <c r="BP128">
        <v>107.039014463223</v>
      </c>
      <c r="BQ128">
        <v>108.97133284966699</v>
      </c>
    </row>
    <row r="129" spans="1:70" x14ac:dyDescent="0.3">
      <c r="A129" t="s">
        <v>140</v>
      </c>
      <c r="B129" t="s">
        <v>358</v>
      </c>
      <c r="C129" t="s">
        <v>544</v>
      </c>
      <c r="D129" t="s">
        <v>545</v>
      </c>
      <c r="P129">
        <v>95.126121520996094</v>
      </c>
      <c r="Q129">
        <v>116.20474243164099</v>
      </c>
      <c r="R129">
        <v>94.142601013183594</v>
      </c>
      <c r="T129">
        <v>120.038772583008</v>
      </c>
      <c r="U129">
        <v>103.86489105224599</v>
      </c>
      <c r="V129">
        <v>112.80718994140599</v>
      </c>
      <c r="W129">
        <v>114.265129089355</v>
      </c>
      <c r="X129">
        <v>116.249557495117</v>
      </c>
      <c r="Y129">
        <v>119.22348785400401</v>
      </c>
      <c r="Z129">
        <v>123.436637878418</v>
      </c>
      <c r="AA129">
        <v>129.97651672363301</v>
      </c>
      <c r="AB129">
        <v>129.15835571289099</v>
      </c>
      <c r="AC129">
        <v>125.37058258056599</v>
      </c>
      <c r="AD129">
        <v>126.996131896973</v>
      </c>
      <c r="AE129">
        <v>122.798446655273</v>
      </c>
      <c r="AF129">
        <v>118.010871887207</v>
      </c>
      <c r="AG129">
        <v>116.287651062012</v>
      </c>
      <c r="AH129">
        <v>118.09185791015599</v>
      </c>
      <c r="AI129">
        <v>116.525390625</v>
      </c>
      <c r="AJ129">
        <v>118.511192321777</v>
      </c>
      <c r="AK129">
        <v>117.74217224121099</v>
      </c>
      <c r="AL129">
        <v>116.88516235351599</v>
      </c>
      <c r="AM129">
        <v>117.27748870849599</v>
      </c>
      <c r="AN129">
        <v>116.212516784668</v>
      </c>
      <c r="AO129">
        <v>115.632736206055</v>
      </c>
      <c r="AP129">
        <v>115.385620117188</v>
      </c>
      <c r="AQ129">
        <v>113.161460876465</v>
      </c>
      <c r="AR129">
        <v>105.17507171630901</v>
      </c>
      <c r="AS129">
        <v>105.91143798828099</v>
      </c>
      <c r="AT129">
        <v>112.92365264892599</v>
      </c>
      <c r="AU129">
        <v>105.25978851318401</v>
      </c>
      <c r="AV129">
        <v>110.661247253418</v>
      </c>
      <c r="AW129">
        <v>107.773559570312</v>
      </c>
      <c r="AX129">
        <v>109.628982543945</v>
      </c>
      <c r="AY129">
        <v>107.57656860351599</v>
      </c>
      <c r="AZ129">
        <v>104.20411682128901</v>
      </c>
      <c r="BA129">
        <v>105.912109375</v>
      </c>
      <c r="BB129">
        <v>102.40789031982401</v>
      </c>
      <c r="BG129">
        <v>109.117865085248</v>
      </c>
      <c r="BH129">
        <v>105.430103966625</v>
      </c>
      <c r="BI129">
        <v>108.727858293076</v>
      </c>
      <c r="BJ129">
        <v>103.30425097456801</v>
      </c>
      <c r="BM129">
        <v>105.717202654416</v>
      </c>
      <c r="BN129">
        <v>103.688433251616</v>
      </c>
      <c r="BO129">
        <v>102.156527494347</v>
      </c>
      <c r="BP129">
        <v>97.365538394128606</v>
      </c>
      <c r="BQ129">
        <v>95.268500327439398</v>
      </c>
    </row>
    <row r="130" spans="1:70" x14ac:dyDescent="0.3">
      <c r="A130" t="s">
        <v>217</v>
      </c>
      <c r="B130" t="s">
        <v>439</v>
      </c>
      <c r="C130" t="s">
        <v>544</v>
      </c>
      <c r="D130" t="s">
        <v>545</v>
      </c>
      <c r="U130">
        <v>106.96148681640599</v>
      </c>
      <c r="V130">
        <v>110.73876953125</v>
      </c>
      <c r="W130">
        <v>107.998420715332</v>
      </c>
      <c r="X130">
        <v>105.12303161621099</v>
      </c>
      <c r="Y130">
        <v>112.997421264648</v>
      </c>
      <c r="Z130">
        <v>98.5389404296875</v>
      </c>
      <c r="AA130">
        <v>99.423751831054702</v>
      </c>
      <c r="AC130">
        <v>117.86183929443401</v>
      </c>
      <c r="AD130">
        <v>113.93064117431599</v>
      </c>
      <c r="AE130">
        <v>117.021278381348</v>
      </c>
      <c r="AF130">
        <v>117.19783782959</v>
      </c>
      <c r="AG130">
        <v>114.35247802734401</v>
      </c>
      <c r="AH130">
        <v>113.021781921387</v>
      </c>
      <c r="AI130">
        <v>116.17156982421901</v>
      </c>
      <c r="AJ130">
        <v>110.050102233887</v>
      </c>
      <c r="AK130">
        <v>110.355346679688</v>
      </c>
      <c r="AL130">
        <v>108.288650512695</v>
      </c>
      <c r="AM130">
        <v>109.124481201172</v>
      </c>
      <c r="AN130">
        <v>107.167129516602</v>
      </c>
      <c r="AQ130">
        <v>100.29831695556599</v>
      </c>
      <c r="AS130">
        <v>111.089706420898</v>
      </c>
      <c r="AT130">
        <v>109.219512939453</v>
      </c>
      <c r="AU130">
        <v>106.870231628418</v>
      </c>
      <c r="AV130">
        <v>108.583549499512</v>
      </c>
      <c r="AW130">
        <v>109.938102722168</v>
      </c>
      <c r="AX130">
        <v>109.70973968505901</v>
      </c>
      <c r="AZ130">
        <v>108.432891845703</v>
      </c>
      <c r="BA130">
        <v>116.00071716308599</v>
      </c>
      <c r="BB130">
        <v>116.26284790039099</v>
      </c>
      <c r="BC130">
        <v>118.555717468262</v>
      </c>
      <c r="BD130">
        <v>117.532852172852</v>
      </c>
      <c r="BE130">
        <v>116.37966156005901</v>
      </c>
      <c r="BF130">
        <v>114.317863464355</v>
      </c>
      <c r="BG130">
        <v>114.983367919922</v>
      </c>
      <c r="BH130">
        <v>117.220672607422</v>
      </c>
      <c r="BI130">
        <v>125.304527282715</v>
      </c>
      <c r="BJ130">
        <v>124.003707136237</v>
      </c>
      <c r="BK130">
        <v>130.08454673555701</v>
      </c>
      <c r="BL130">
        <v>129.53181272508999</v>
      </c>
      <c r="BM130">
        <v>129.318854886476</v>
      </c>
      <c r="BN130">
        <v>138.73167419433599</v>
      </c>
      <c r="BO130">
        <v>127.689992475545</v>
      </c>
      <c r="BP130">
        <v>121.118748518606</v>
      </c>
    </row>
    <row r="131" spans="1:70" x14ac:dyDescent="0.3">
      <c r="A131" t="s">
        <v>142</v>
      </c>
      <c r="B131" t="s">
        <v>360</v>
      </c>
      <c r="C131" t="s">
        <v>544</v>
      </c>
      <c r="D131" t="s">
        <v>545</v>
      </c>
      <c r="AS131">
        <v>98.964538574218807</v>
      </c>
      <c r="AT131">
        <v>98.792152404785199</v>
      </c>
      <c r="AU131">
        <v>98.958038330078097</v>
      </c>
      <c r="AV131">
        <v>99.993957519531193</v>
      </c>
      <c r="AW131">
        <v>100.17652893066401</v>
      </c>
      <c r="AX131">
        <v>100.344917297363</v>
      </c>
      <c r="AY131">
        <v>100.363288879395</v>
      </c>
      <c r="AZ131">
        <v>100.793983459473</v>
      </c>
      <c r="BA131">
        <v>101.344970703125</v>
      </c>
      <c r="BB131">
        <v>101.050827026367</v>
      </c>
      <c r="BC131">
        <v>100.80436706543</v>
      </c>
      <c r="BD131">
        <v>100.99887847900401</v>
      </c>
      <c r="BE131">
        <v>101.147590637207</v>
      </c>
      <c r="BF131">
        <v>100.268768310547</v>
      </c>
      <c r="BG131">
        <v>99.456809997558594</v>
      </c>
      <c r="BH131">
        <v>100.062088012695</v>
      </c>
      <c r="BI131">
        <v>99.716011047363295</v>
      </c>
      <c r="BJ131">
        <v>98.624710083007798</v>
      </c>
      <c r="BK131">
        <v>98.665672302246094</v>
      </c>
      <c r="BL131">
        <v>99.638816833496094</v>
      </c>
      <c r="BM131">
        <v>99.217903137207003</v>
      </c>
      <c r="BN131">
        <v>98.607933044433594</v>
      </c>
      <c r="BO131">
        <v>99.005020141601605</v>
      </c>
      <c r="BP131">
        <v>100.301467895508</v>
      </c>
    </row>
    <row r="132" spans="1:70" x14ac:dyDescent="0.3">
      <c r="A132" t="s">
        <v>144</v>
      </c>
      <c r="B132" t="s">
        <v>362</v>
      </c>
      <c r="C132" t="s">
        <v>544</v>
      </c>
      <c r="D132" t="s">
        <v>545</v>
      </c>
      <c r="P132">
        <v>78.9488525390625</v>
      </c>
      <c r="Q132">
        <v>80.223762512207003</v>
      </c>
      <c r="R132">
        <v>82.216613769531193</v>
      </c>
      <c r="S132">
        <v>83.291107177734403</v>
      </c>
      <c r="T132">
        <v>85.950271606445298</v>
      </c>
      <c r="U132">
        <v>89.792900085449205</v>
      </c>
      <c r="V132">
        <v>95.652366638183594</v>
      </c>
      <c r="W132">
        <v>98.600456237792997</v>
      </c>
      <c r="X132">
        <v>96.741363525390597</v>
      </c>
      <c r="Y132">
        <v>96.624710083007798</v>
      </c>
      <c r="Z132">
        <v>94.550361633300795</v>
      </c>
      <c r="AA132">
        <v>95.202133178710895</v>
      </c>
      <c r="AB132">
        <v>95.260978698730497</v>
      </c>
      <c r="AC132">
        <v>95.231956481933594</v>
      </c>
      <c r="AD132">
        <v>94.260902404785199</v>
      </c>
      <c r="AE132">
        <v>92.386367797851605</v>
      </c>
      <c r="AF132">
        <v>88.815147399902301</v>
      </c>
      <c r="AG132">
        <v>86.699989318847699</v>
      </c>
      <c r="AH132">
        <v>84.401176452636705</v>
      </c>
      <c r="AI132">
        <v>82.565292358398395</v>
      </c>
      <c r="AJ132">
        <v>112.571487426758</v>
      </c>
      <c r="AK132">
        <v>73.112419128417997</v>
      </c>
      <c r="AL132">
        <v>76.615287780761705</v>
      </c>
      <c r="AM132">
        <v>85.255622863769503</v>
      </c>
      <c r="AN132">
        <v>83.927848815917997</v>
      </c>
      <c r="AO132">
        <v>87.475181579589801</v>
      </c>
      <c r="AP132">
        <v>88.190109252929702</v>
      </c>
      <c r="AQ132">
        <v>88.843109130859403</v>
      </c>
      <c r="AR132">
        <v>89.244033813476605</v>
      </c>
      <c r="AS132">
        <v>91.778190612792997</v>
      </c>
      <c r="AT132">
        <v>94.388191223144503</v>
      </c>
      <c r="AU132">
        <v>100.232528686523</v>
      </c>
      <c r="AV132">
        <v>103.91635894775401</v>
      </c>
      <c r="AW132">
        <v>106.36492156982401</v>
      </c>
      <c r="AX132">
        <v>109.95246124267599</v>
      </c>
      <c r="AY132">
        <v>107.88352203369099</v>
      </c>
      <c r="AZ132">
        <v>109.510246276855</v>
      </c>
      <c r="BA132">
        <v>105.871963500977</v>
      </c>
      <c r="BB132">
        <v>104.793342590332</v>
      </c>
      <c r="BC132">
        <v>103.45607063162799</v>
      </c>
      <c r="BD132">
        <v>104.034639765968</v>
      </c>
      <c r="BE132">
        <v>101.201070548063</v>
      </c>
      <c r="BF132">
        <v>100.76174143249</v>
      </c>
      <c r="BG132">
        <v>100.81140841023</v>
      </c>
      <c r="BH132">
        <v>101.79893482592099</v>
      </c>
      <c r="BI132">
        <v>95.082504528762001</v>
      </c>
      <c r="BJ132">
        <v>91.091846001842995</v>
      </c>
      <c r="BK132">
        <v>88.366360192640798</v>
      </c>
      <c r="BL132">
        <v>83.058405539643999</v>
      </c>
      <c r="BM132">
        <v>81.386793864242406</v>
      </c>
      <c r="BN132">
        <v>82.363412679180598</v>
      </c>
    </row>
    <row r="133" spans="1:70" x14ac:dyDescent="0.3">
      <c r="A133" t="s">
        <v>585</v>
      </c>
      <c r="B133" t="s">
        <v>586</v>
      </c>
      <c r="C133" t="s">
        <v>544</v>
      </c>
      <c r="D133" t="s">
        <v>545</v>
      </c>
      <c r="AR133">
        <v>118.367752075195</v>
      </c>
      <c r="AS133">
        <v>117.44541168212901</v>
      </c>
      <c r="AT133">
        <v>116.401641845703</v>
      </c>
      <c r="AU133">
        <v>116.192909240723</v>
      </c>
      <c r="AV133">
        <v>115.16584014892599</v>
      </c>
      <c r="AW133">
        <v>115.26039886474599</v>
      </c>
      <c r="AX133">
        <v>114.59665679931599</v>
      </c>
      <c r="AY133">
        <v>110.031173706055</v>
      </c>
      <c r="AZ133">
        <v>113.95262145996099</v>
      </c>
      <c r="BA133">
        <v>113.529777526855</v>
      </c>
      <c r="BB133">
        <v>113.55670166015599</v>
      </c>
      <c r="BC133">
        <v>112.475479125977</v>
      </c>
      <c r="BD133">
        <v>111.543670654297</v>
      </c>
      <c r="BE133">
        <v>110.255172729492</v>
      </c>
      <c r="BF133">
        <v>111.21231079101599</v>
      </c>
      <c r="BG133">
        <v>110.32553100585901</v>
      </c>
      <c r="BH133">
        <v>109.20433807373</v>
      </c>
      <c r="BI133">
        <v>108.656143188477</v>
      </c>
      <c r="BJ133">
        <v>108.182693481445</v>
      </c>
      <c r="BK133">
        <v>107.58811187744099</v>
      </c>
      <c r="BL133">
        <v>107.327186584473</v>
      </c>
      <c r="BM133">
        <v>106.388076782227</v>
      </c>
      <c r="BN133">
        <v>105.274742126465</v>
      </c>
      <c r="BO133">
        <v>105.021293640137</v>
      </c>
      <c r="BP133">
        <v>104.517082214355</v>
      </c>
      <c r="BQ133">
        <v>104.340461730957</v>
      </c>
    </row>
    <row r="134" spans="1:70" x14ac:dyDescent="0.3">
      <c r="A134" t="s">
        <v>146</v>
      </c>
      <c r="B134" t="s">
        <v>364</v>
      </c>
      <c r="C134" t="s">
        <v>544</v>
      </c>
      <c r="D134" t="s">
        <v>545</v>
      </c>
      <c r="P134">
        <v>57.898368835449197</v>
      </c>
      <c r="Q134">
        <v>61.551628112792997</v>
      </c>
      <c r="R134">
        <v>61.648349761962898</v>
      </c>
      <c r="U134">
        <v>65.980903625488295</v>
      </c>
      <c r="V134">
        <v>99.265846252441406</v>
      </c>
      <c r="W134">
        <v>98.974868774414105</v>
      </c>
      <c r="X134">
        <v>102.65350341796901</v>
      </c>
      <c r="Y134">
        <v>102.426078796387</v>
      </c>
      <c r="Z134">
        <v>103.12168121337901</v>
      </c>
      <c r="AA134">
        <v>100.618530273438</v>
      </c>
      <c r="AB134">
        <v>98.0364990234375</v>
      </c>
      <c r="AC134">
        <v>96.548057556152301</v>
      </c>
      <c r="AD134">
        <v>96.173446655273395</v>
      </c>
      <c r="AE134">
        <v>99.376983642578097</v>
      </c>
      <c r="AG134">
        <v>101.340812683105</v>
      </c>
      <c r="AI134">
        <v>96.611846923828097</v>
      </c>
      <c r="AJ134">
        <v>95.657608032226605</v>
      </c>
      <c r="AK134">
        <v>93.235519409179702</v>
      </c>
      <c r="AL134">
        <v>99.077713012695298</v>
      </c>
      <c r="AM134">
        <v>102.602249145508</v>
      </c>
      <c r="AN134">
        <v>103.86492919921901</v>
      </c>
      <c r="AO134">
        <v>107.512451171875</v>
      </c>
      <c r="AP134">
        <v>108.373001098633</v>
      </c>
      <c r="AQ134">
        <v>110.00441741943401</v>
      </c>
      <c r="AR134">
        <v>107.866081237793</v>
      </c>
      <c r="AS134">
        <v>105.722198486328</v>
      </c>
      <c r="AT134">
        <v>103.31085968017599</v>
      </c>
      <c r="AU134">
        <v>105.233688354492</v>
      </c>
      <c r="AV134">
        <v>107.48159027099599</v>
      </c>
      <c r="AW134">
        <v>108.649421691895</v>
      </c>
      <c r="AX134">
        <v>110.026527404785</v>
      </c>
      <c r="AY134">
        <v>110.817306518555</v>
      </c>
      <c r="AZ134">
        <v>112.471809387207</v>
      </c>
      <c r="BA134">
        <v>114.984016418457</v>
      </c>
      <c r="BB134">
        <v>117.407089233398</v>
      </c>
      <c r="BC134">
        <v>119.705680847168</v>
      </c>
      <c r="BD134">
        <v>119.074599302583</v>
      </c>
      <c r="BE134">
        <v>118.41431574096499</v>
      </c>
      <c r="BF134">
        <v>118.408152699995</v>
      </c>
      <c r="BG134">
        <v>117.425464096562</v>
      </c>
      <c r="BH134">
        <v>114.302879123065</v>
      </c>
      <c r="BI134">
        <v>110.50281268142299</v>
      </c>
      <c r="BJ134">
        <v>107.444972491228</v>
      </c>
      <c r="BK134">
        <v>104.27541315819801</v>
      </c>
      <c r="BL134">
        <v>101.978544594664</v>
      </c>
      <c r="BM134">
        <v>100.27766790602</v>
      </c>
      <c r="BN134">
        <v>99.110199480982502</v>
      </c>
      <c r="BO134">
        <v>95.698849502487604</v>
      </c>
      <c r="BP134">
        <v>95.038253493921601</v>
      </c>
      <c r="BQ134">
        <v>93.851401904713597</v>
      </c>
      <c r="BR134">
        <v>93.143525014042893</v>
      </c>
    </row>
    <row r="135" spans="1:70" x14ac:dyDescent="0.3">
      <c r="A135" t="s">
        <v>148</v>
      </c>
      <c r="B135" t="s">
        <v>366</v>
      </c>
      <c r="C135" t="s">
        <v>544</v>
      </c>
      <c r="D135" t="s">
        <v>545</v>
      </c>
      <c r="P135">
        <v>126.66046142578099</v>
      </c>
      <c r="S135">
        <v>125.324462890625</v>
      </c>
      <c r="W135">
        <v>104.279426574707</v>
      </c>
      <c r="Y135">
        <v>104.756462097168</v>
      </c>
      <c r="Z135">
        <v>108.371627807617</v>
      </c>
      <c r="AA135">
        <v>106.117683410645</v>
      </c>
      <c r="AB135">
        <v>101.6611328125</v>
      </c>
      <c r="AD135">
        <v>85.303779602050795</v>
      </c>
      <c r="AF135">
        <v>97.980857849121094</v>
      </c>
      <c r="AH135">
        <v>81.557563781738295</v>
      </c>
      <c r="AK135">
        <v>77.216163635253906</v>
      </c>
      <c r="AL135">
        <v>76.577713012695298</v>
      </c>
      <c r="AM135">
        <v>78.894340515136705</v>
      </c>
      <c r="AN135">
        <v>79.0194091796875</v>
      </c>
      <c r="AO135">
        <v>78.522293090820298</v>
      </c>
      <c r="AP135">
        <v>80.591979980468807</v>
      </c>
      <c r="AQ135">
        <v>83.272636413574205</v>
      </c>
      <c r="AR135">
        <v>86.520828247070298</v>
      </c>
      <c r="AS135">
        <v>85.122077941894503</v>
      </c>
      <c r="AT135">
        <v>84.428031921386705</v>
      </c>
      <c r="AU135">
        <v>85.524368286132798</v>
      </c>
      <c r="AV135">
        <v>86.772682189941406</v>
      </c>
      <c r="AW135">
        <v>88.683677673339801</v>
      </c>
      <c r="AX135">
        <v>89.188766479492202</v>
      </c>
      <c r="AY135">
        <v>88.527091979980497</v>
      </c>
      <c r="AZ135">
        <v>88.326972961425795</v>
      </c>
      <c r="BA135">
        <v>86.235969543457003</v>
      </c>
      <c r="BB135">
        <v>85.368927001953097</v>
      </c>
      <c r="BC135">
        <v>84.797345072608294</v>
      </c>
      <c r="BD135">
        <v>84.837216728146302</v>
      </c>
      <c r="BE135">
        <v>85.279322559841503</v>
      </c>
      <c r="BF135">
        <v>86.802863821250398</v>
      </c>
      <c r="BG135">
        <v>78.518938175619994</v>
      </c>
      <c r="BH135">
        <v>77.160939644100793</v>
      </c>
      <c r="BI135">
        <v>76.547464924547896</v>
      </c>
      <c r="BJ135">
        <v>78.122376513460196</v>
      </c>
      <c r="BK135">
        <v>77.575728034071901</v>
      </c>
      <c r="BL135">
        <v>77.092792429737798</v>
      </c>
      <c r="BM135">
        <v>76.101696162478405</v>
      </c>
      <c r="BN135">
        <v>74.729221765468196</v>
      </c>
      <c r="BO135">
        <v>76.454123319365095</v>
      </c>
      <c r="BP135">
        <v>78.202687419617604</v>
      </c>
      <c r="BQ135">
        <v>81.769112409349802</v>
      </c>
    </row>
    <row r="136" spans="1:70" x14ac:dyDescent="0.3">
      <c r="A136" t="s">
        <v>150</v>
      </c>
      <c r="B136" t="s">
        <v>368</v>
      </c>
      <c r="C136" t="s">
        <v>544</v>
      </c>
      <c r="D136" t="s">
        <v>545</v>
      </c>
      <c r="O136">
        <v>35.606269836425803</v>
      </c>
      <c r="P136">
        <v>36.499279022216797</v>
      </c>
      <c r="Q136">
        <v>37.520278930664098</v>
      </c>
      <c r="T136">
        <v>39.4977416992188</v>
      </c>
      <c r="U136">
        <v>36.955898284912102</v>
      </c>
      <c r="W136">
        <v>45.418308258056598</v>
      </c>
      <c r="X136">
        <v>45.863040924072301</v>
      </c>
      <c r="Y136">
        <v>48.7294311523438</v>
      </c>
      <c r="AC136">
        <v>40.173458099365199</v>
      </c>
      <c r="AQ136">
        <v>71.421028137207003</v>
      </c>
      <c r="AR136">
        <v>90.134262084960895</v>
      </c>
      <c r="AS136">
        <v>108.483879089355</v>
      </c>
      <c r="AY136">
        <v>89.206230163574205</v>
      </c>
      <c r="BA136">
        <v>88.425033569335895</v>
      </c>
      <c r="BB136">
        <v>95.9832763671875</v>
      </c>
      <c r="BD136">
        <v>100.745734764563</v>
      </c>
      <c r="BF136">
        <v>52.197705503272502</v>
      </c>
      <c r="BG136">
        <v>92.553020185085202</v>
      </c>
      <c r="BH136">
        <v>89.990046454262995</v>
      </c>
      <c r="BI136">
        <v>83.889115849246494</v>
      </c>
      <c r="BJ136">
        <v>79.5952338903314</v>
      </c>
      <c r="BM136">
        <v>72.422827880186503</v>
      </c>
      <c r="BN136">
        <v>67.462715078107294</v>
      </c>
      <c r="BO136">
        <v>66.593925509470594</v>
      </c>
    </row>
    <row r="137" spans="1:70" x14ac:dyDescent="0.3">
      <c r="A137" t="s">
        <v>151</v>
      </c>
      <c r="B137" t="s">
        <v>369</v>
      </c>
      <c r="C137" t="s">
        <v>544</v>
      </c>
      <c r="D137" t="s">
        <v>545</v>
      </c>
      <c r="P137">
        <v>84.450576782226605</v>
      </c>
      <c r="Q137">
        <v>93.979660034179702</v>
      </c>
      <c r="R137">
        <v>101.046516418457</v>
      </c>
      <c r="S137">
        <v>107.927169799805</v>
      </c>
      <c r="T137">
        <v>112.12419891357401</v>
      </c>
      <c r="U137">
        <v>114.81819152832</v>
      </c>
      <c r="V137">
        <v>113.507820129395</v>
      </c>
      <c r="W137">
        <v>109.553657531738</v>
      </c>
      <c r="X137">
        <v>114.75652313232401</v>
      </c>
      <c r="Y137">
        <v>111.63217926025401</v>
      </c>
      <c r="Z137">
        <v>107.533683776855</v>
      </c>
      <c r="AB137">
        <v>107.960258483887</v>
      </c>
      <c r="AE137">
        <v>104.36611938476599</v>
      </c>
      <c r="AR137">
        <v>118.109130859375</v>
      </c>
      <c r="AT137">
        <v>112.976516723633</v>
      </c>
      <c r="AU137">
        <v>110.52321624755901</v>
      </c>
      <c r="AV137">
        <v>108.359649658203</v>
      </c>
      <c r="AW137">
        <v>108.333869934082</v>
      </c>
      <c r="AX137">
        <v>102.512176513672</v>
      </c>
      <c r="AY137">
        <v>106.998237609863</v>
      </c>
    </row>
    <row r="138" spans="1:70" x14ac:dyDescent="0.3">
      <c r="A138" t="s">
        <v>218</v>
      </c>
      <c r="B138" t="s">
        <v>440</v>
      </c>
      <c r="C138" t="s">
        <v>544</v>
      </c>
      <c r="D138" t="s">
        <v>545</v>
      </c>
      <c r="P138">
        <v>94.411842346191406</v>
      </c>
      <c r="Q138">
        <v>99.917488098144503</v>
      </c>
      <c r="R138">
        <v>105.500289916992</v>
      </c>
      <c r="S138">
        <v>109.160041809082</v>
      </c>
      <c r="T138">
        <v>111.717041015625</v>
      </c>
      <c r="U138">
        <v>115.201202392578</v>
      </c>
      <c r="V138">
        <v>120.164108276367</v>
      </c>
      <c r="W138">
        <v>123.730499267578</v>
      </c>
      <c r="X138">
        <v>127.456619262695</v>
      </c>
      <c r="Y138">
        <v>125.87384033203099</v>
      </c>
      <c r="Z138">
        <v>121.516227722168</v>
      </c>
      <c r="AA138">
        <v>127.19229888916</v>
      </c>
      <c r="AB138">
        <v>128.662185668945</v>
      </c>
      <c r="AC138">
        <v>129.02668762207</v>
      </c>
      <c r="AD138">
        <v>131.77484130859401</v>
      </c>
      <c r="AE138">
        <v>129.35357666015599</v>
      </c>
      <c r="AF138">
        <v>127.688232421875</v>
      </c>
      <c r="AG138">
        <v>125.79173278808599</v>
      </c>
      <c r="AH138">
        <v>128.73634338378901</v>
      </c>
      <c r="AI138">
        <v>131.18049621582</v>
      </c>
      <c r="AJ138">
        <v>133.19075012207</v>
      </c>
      <c r="AK138">
        <v>129.97331237793</v>
      </c>
      <c r="AL138">
        <v>128.75851440429699</v>
      </c>
      <c r="AM138">
        <v>126.12783050537099</v>
      </c>
      <c r="AN138">
        <v>120.55996704101599</v>
      </c>
      <c r="AO138">
        <v>123.530807495117</v>
      </c>
      <c r="AP138">
        <v>124.975288391113</v>
      </c>
      <c r="AQ138">
        <v>124.611923217773</v>
      </c>
      <c r="AR138">
        <v>102.62777709960901</v>
      </c>
      <c r="AS138">
        <v>103.179191589355</v>
      </c>
      <c r="AT138">
        <v>105.756622314453</v>
      </c>
      <c r="AU138">
        <v>104.274787902832</v>
      </c>
      <c r="AV138">
        <v>103.556831359863</v>
      </c>
      <c r="AW138">
        <v>101.37026977539099</v>
      </c>
      <c r="AX138">
        <v>100.85569000244099</v>
      </c>
      <c r="AY138">
        <v>104.720840454102</v>
      </c>
      <c r="AZ138">
        <v>98.563690185546903</v>
      </c>
      <c r="BA138">
        <v>97.622161865234403</v>
      </c>
      <c r="BB138">
        <v>98.128517150878906</v>
      </c>
      <c r="BC138">
        <v>98.389053344726605</v>
      </c>
      <c r="BD138">
        <v>97.876091003417997</v>
      </c>
      <c r="BE138">
        <v>96.917327880859403</v>
      </c>
      <c r="BF138">
        <v>97.361351013183594</v>
      </c>
      <c r="BG138">
        <v>96.878326416015597</v>
      </c>
      <c r="BH138">
        <v>95.271003723144503</v>
      </c>
      <c r="BI138">
        <v>94.937072753906193</v>
      </c>
      <c r="BJ138">
        <v>95.508361816406193</v>
      </c>
      <c r="BK138">
        <v>96.828109741210895</v>
      </c>
      <c r="BL138">
        <v>97.720901489257798</v>
      </c>
      <c r="BM138">
        <v>98.429252624511705</v>
      </c>
      <c r="BO138">
        <v>102.964202074272</v>
      </c>
      <c r="BP138">
        <v>101.370978688747</v>
      </c>
      <c r="BQ138">
        <v>96.782295838707498</v>
      </c>
    </row>
    <row r="139" spans="1:70" x14ac:dyDescent="0.3">
      <c r="A139" t="s">
        <v>19</v>
      </c>
      <c r="B139" t="s">
        <v>587</v>
      </c>
      <c r="C139" t="s">
        <v>544</v>
      </c>
      <c r="D139" t="s">
        <v>545</v>
      </c>
      <c r="AL139">
        <v>110.12322998046901</v>
      </c>
      <c r="AM139">
        <v>111.270561218262</v>
      </c>
      <c r="AN139">
        <v>105.41916656494099</v>
      </c>
      <c r="AO139">
        <v>106.083976745605</v>
      </c>
      <c r="AP139">
        <v>113.49680328369099</v>
      </c>
      <c r="AQ139">
        <v>107.70343780517599</v>
      </c>
      <c r="AR139">
        <v>116.415557861328</v>
      </c>
      <c r="AS139">
        <v>115.67315673828099</v>
      </c>
      <c r="AT139">
        <v>114.88230133056599</v>
      </c>
      <c r="AU139">
        <v>114.83616638183599</v>
      </c>
      <c r="AV139">
        <v>113.822761535645</v>
      </c>
      <c r="AW139">
        <v>114.052032470703</v>
      </c>
      <c r="AX139">
        <v>113.428680419922</v>
      </c>
      <c r="AY139">
        <v>109.354698181152</v>
      </c>
      <c r="AZ139">
        <v>113.001747131348</v>
      </c>
      <c r="BA139">
        <v>112.47305297851599</v>
      </c>
      <c r="BB139">
        <v>112.463836669922</v>
      </c>
      <c r="BC139">
        <v>111.409637451172</v>
      </c>
      <c r="BD139">
        <v>110.54978179931599</v>
      </c>
      <c r="BE139">
        <v>109.402587890625</v>
      </c>
      <c r="BF139">
        <v>110.243026733398</v>
      </c>
      <c r="BG139">
        <v>109.37109375</v>
      </c>
      <c r="BH139">
        <v>108.312019348145</v>
      </c>
      <c r="BI139">
        <v>107.620933532715</v>
      </c>
      <c r="BJ139">
        <v>107.05209350585901</v>
      </c>
      <c r="BK139">
        <v>106.677040100098</v>
      </c>
      <c r="BL139">
        <v>106.588180541992</v>
      </c>
      <c r="BM139">
        <v>105.879936218262</v>
      </c>
      <c r="BN139">
        <v>105.08177947998</v>
      </c>
      <c r="BO139">
        <v>105.02996826171901</v>
      </c>
      <c r="BP139">
        <v>104.61765289306599</v>
      </c>
      <c r="BQ139">
        <v>104.589141845703</v>
      </c>
    </row>
    <row r="140" spans="1:70" x14ac:dyDescent="0.3">
      <c r="A140" t="s">
        <v>588</v>
      </c>
      <c r="B140" t="s">
        <v>589</v>
      </c>
      <c r="C140" t="s">
        <v>544</v>
      </c>
      <c r="D140" t="s">
        <v>545</v>
      </c>
      <c r="O140">
        <v>51.442710876464801</v>
      </c>
      <c r="P140">
        <v>48.888671875</v>
      </c>
      <c r="Q140">
        <v>51.652519226074197</v>
      </c>
      <c r="R140">
        <v>54.662040710449197</v>
      </c>
      <c r="S140">
        <v>55.329471588134801</v>
      </c>
      <c r="T140">
        <v>57.882759094238303</v>
      </c>
      <c r="U140">
        <v>60.239570617675803</v>
      </c>
      <c r="V140">
        <v>61.698760986328097</v>
      </c>
      <c r="W140">
        <v>63.2776489257812</v>
      </c>
      <c r="X140">
        <v>64.423713684082003</v>
      </c>
      <c r="Y140">
        <v>65.872726440429702</v>
      </c>
      <c r="Z140">
        <v>67.177459716796903</v>
      </c>
      <c r="AA140">
        <v>67.571121215820298</v>
      </c>
      <c r="AB140">
        <v>68.008850097656193</v>
      </c>
      <c r="AC140">
        <v>67.641517639160199</v>
      </c>
      <c r="AD140">
        <v>65.870498657226605</v>
      </c>
      <c r="AE140">
        <v>65.819122314453097</v>
      </c>
      <c r="AF140">
        <v>64.958061218261705</v>
      </c>
      <c r="AG140">
        <v>67.240272521972699</v>
      </c>
      <c r="AH140">
        <v>66.798828125</v>
      </c>
      <c r="AI140">
        <v>65.760513305664105</v>
      </c>
      <c r="AJ140">
        <v>67.720161437988295</v>
      </c>
      <c r="AK140">
        <v>67.952377319335895</v>
      </c>
      <c r="AL140">
        <v>69.1292724609375</v>
      </c>
      <c r="AM140">
        <v>70.153762817382798</v>
      </c>
      <c r="AN140">
        <v>71.819450378417997</v>
      </c>
      <c r="AO140">
        <v>72.313186645507798</v>
      </c>
      <c r="AP140">
        <v>74.767570495605497</v>
      </c>
      <c r="AQ140">
        <v>75.236137390136705</v>
      </c>
      <c r="AR140">
        <v>74.848106384277301</v>
      </c>
      <c r="AS140">
        <v>76.779243469238295</v>
      </c>
      <c r="AT140">
        <v>78.981620788574205</v>
      </c>
      <c r="AU140">
        <v>83.528610229492202</v>
      </c>
      <c r="AV140">
        <v>86.643806457519503</v>
      </c>
      <c r="AW140">
        <v>88.970932006835895</v>
      </c>
      <c r="AX140">
        <v>91.188781738281193</v>
      </c>
      <c r="AY140">
        <v>93.466201782226605</v>
      </c>
      <c r="AZ140">
        <v>95.070701599121094</v>
      </c>
      <c r="BA140">
        <v>97.667907714843807</v>
      </c>
      <c r="BB140">
        <v>98.255271911621094</v>
      </c>
      <c r="BC140">
        <v>98.729278564453097</v>
      </c>
      <c r="BD140">
        <v>100.333000183105</v>
      </c>
      <c r="BE140">
        <v>100.887176513672</v>
      </c>
      <c r="BF140">
        <v>100.728317260742</v>
      </c>
      <c r="BG140">
        <v>101.118438720703</v>
      </c>
      <c r="BH140">
        <v>99.997428894042997</v>
      </c>
      <c r="BI140">
        <v>100.41607666015599</v>
      </c>
      <c r="BJ140">
        <v>100.99700927734401</v>
      </c>
      <c r="BK140">
        <v>102.00984954834</v>
      </c>
      <c r="BL140">
        <v>102.805526733398</v>
      </c>
      <c r="BM140">
        <v>103.261260986328</v>
      </c>
      <c r="BN140">
        <v>102.418258666992</v>
      </c>
      <c r="BO140">
        <v>100.30393981933599</v>
      </c>
      <c r="BP140">
        <v>100.32697296142599</v>
      </c>
      <c r="BQ140">
        <v>100.6826171875</v>
      </c>
    </row>
    <row r="141" spans="1:70" x14ac:dyDescent="0.3">
      <c r="A141" t="s">
        <v>10</v>
      </c>
      <c r="B141" t="s">
        <v>590</v>
      </c>
      <c r="C141" t="s">
        <v>544</v>
      </c>
      <c r="D141" t="s">
        <v>545</v>
      </c>
      <c r="O141">
        <v>52.940921783447301</v>
      </c>
      <c r="P141">
        <v>49.582778930664098</v>
      </c>
      <c r="Q141">
        <v>49.952781677246101</v>
      </c>
      <c r="R141">
        <v>50.939220428466797</v>
      </c>
      <c r="S141">
        <v>51.806690216064503</v>
      </c>
      <c r="T141">
        <v>53.052169799804702</v>
      </c>
      <c r="U141">
        <v>54.833141326904297</v>
      </c>
      <c r="V141">
        <v>56.807361602783203</v>
      </c>
      <c r="W141">
        <v>57.341541290283203</v>
      </c>
      <c r="X141">
        <v>58.449348449707003</v>
      </c>
      <c r="Y141">
        <v>60.416069030761697</v>
      </c>
      <c r="Z141">
        <v>61.989879608154297</v>
      </c>
      <c r="AA141">
        <v>61.393379211425803</v>
      </c>
      <c r="AB141">
        <v>61.250808715820298</v>
      </c>
      <c r="AC141">
        <v>61.447719573974602</v>
      </c>
      <c r="AD141">
        <v>60.724071502685497</v>
      </c>
      <c r="AE141">
        <v>60.827358245849602</v>
      </c>
      <c r="AF141">
        <v>59.881881713867202</v>
      </c>
      <c r="AG141">
        <v>60.368240356445298</v>
      </c>
      <c r="AH141">
        <v>59.010368347167997</v>
      </c>
      <c r="AI141">
        <v>57.446849822997997</v>
      </c>
      <c r="AJ141">
        <v>59.279460906982401</v>
      </c>
      <c r="AK141">
        <v>58.116981506347699</v>
      </c>
      <c r="AL141">
        <v>59.129451751708999</v>
      </c>
      <c r="AM141">
        <v>60.150211334228501</v>
      </c>
      <c r="AN141">
        <v>62.950229644775398</v>
      </c>
      <c r="AO141">
        <v>63.028591156005902</v>
      </c>
      <c r="AP141">
        <v>66.881393432617202</v>
      </c>
      <c r="AQ141">
        <v>67.684509277343807</v>
      </c>
      <c r="AR141">
        <v>66.913330078125</v>
      </c>
      <c r="AS141">
        <v>69.061752319335895</v>
      </c>
      <c r="AT141">
        <v>71.894813537597699</v>
      </c>
      <c r="AU141">
        <v>76.527908325195298</v>
      </c>
      <c r="AV141">
        <v>79.790153503417997</v>
      </c>
      <c r="AW141">
        <v>82.387840270996094</v>
      </c>
      <c r="AX141">
        <v>85.263748168945298</v>
      </c>
      <c r="AY141">
        <v>87.978622436523395</v>
      </c>
      <c r="AZ141">
        <v>90.341590881347699</v>
      </c>
      <c r="BA141">
        <v>94.7421875</v>
      </c>
      <c r="BB141">
        <v>95.390228271484403</v>
      </c>
      <c r="BC141">
        <v>95.265533447265597</v>
      </c>
      <c r="BD141">
        <v>95.429916381835895</v>
      </c>
      <c r="BE141">
        <v>96.355171203613295</v>
      </c>
      <c r="BF141">
        <v>95.689628601074205</v>
      </c>
      <c r="BG141">
        <v>96.467903137207003</v>
      </c>
      <c r="BH141">
        <v>95.094741821289105</v>
      </c>
      <c r="BI141">
        <v>96.2164306640625</v>
      </c>
      <c r="BJ141">
        <v>97.088150024414105</v>
      </c>
      <c r="BK141">
        <v>98.266830444335895</v>
      </c>
      <c r="BL141">
        <v>99.377258300781193</v>
      </c>
      <c r="BM141">
        <v>100.429161071777</v>
      </c>
      <c r="BN141">
        <v>99.429222106933594</v>
      </c>
      <c r="BO141">
        <v>96.607208251953097</v>
      </c>
      <c r="BP141">
        <v>96.980400085449205</v>
      </c>
      <c r="BQ141">
        <v>97.572891235351605</v>
      </c>
    </row>
    <row r="142" spans="1:70" x14ac:dyDescent="0.3">
      <c r="A142" t="s">
        <v>152</v>
      </c>
      <c r="B142" t="s">
        <v>370</v>
      </c>
      <c r="C142" t="s">
        <v>544</v>
      </c>
      <c r="D142" t="s">
        <v>545</v>
      </c>
      <c r="AV142">
        <v>106.17520141601599</v>
      </c>
      <c r="AW142">
        <v>109.152221679688</v>
      </c>
      <c r="AX142">
        <v>105.754722595215</v>
      </c>
      <c r="AY142">
        <v>107.511962890625</v>
      </c>
      <c r="AZ142">
        <v>107.26576995849599</v>
      </c>
      <c r="BA142">
        <v>105.525672912598</v>
      </c>
      <c r="BB142">
        <v>105.75112152099599</v>
      </c>
      <c r="BC142">
        <v>105.459182739258</v>
      </c>
      <c r="BD142">
        <v>104.95050048828099</v>
      </c>
      <c r="BE142">
        <v>103.828002929688</v>
      </c>
      <c r="BG142">
        <v>102.66098785400401</v>
      </c>
      <c r="BH142">
        <v>105.665420532227</v>
      </c>
      <c r="BI142">
        <v>105.491020202637</v>
      </c>
      <c r="BJ142">
        <v>104.699737548828</v>
      </c>
      <c r="BK142">
        <v>106.329788208008</v>
      </c>
      <c r="BL142">
        <v>103.83000946044901</v>
      </c>
      <c r="BM142">
        <v>102.913627624512</v>
      </c>
      <c r="BN142">
        <v>102.110137939453</v>
      </c>
    </row>
    <row r="143" spans="1:70" x14ac:dyDescent="0.3">
      <c r="A143" t="s">
        <v>216</v>
      </c>
      <c r="B143" t="s">
        <v>438</v>
      </c>
      <c r="C143" t="s">
        <v>544</v>
      </c>
      <c r="D143" t="s">
        <v>545</v>
      </c>
      <c r="O143">
        <v>104.45810699462901</v>
      </c>
      <c r="P143">
        <v>105.43039703369099</v>
      </c>
      <c r="Q143">
        <v>95.114227294921903</v>
      </c>
      <c r="R143">
        <v>92.366867065429702</v>
      </c>
      <c r="S143">
        <v>86.879089355468807</v>
      </c>
      <c r="T143">
        <v>83.769401550292997</v>
      </c>
      <c r="U143">
        <v>83.172111511230497</v>
      </c>
      <c r="V143">
        <v>87.8018798828125</v>
      </c>
      <c r="W143">
        <v>110.7470703125</v>
      </c>
      <c r="X143">
        <v>114.03939819335901</v>
      </c>
      <c r="Y143">
        <v>118.74758148193401</v>
      </c>
      <c r="Z143">
        <v>121.98732757568401</v>
      </c>
      <c r="AA143">
        <v>122.48403930664099</v>
      </c>
      <c r="AB143">
        <v>122.336380004883</v>
      </c>
      <c r="AC143">
        <v>123.063041687012</v>
      </c>
      <c r="AD143">
        <v>123.74928283691401</v>
      </c>
      <c r="AE143">
        <v>123.63556671142599</v>
      </c>
      <c r="AF143">
        <v>106.75218200683599</v>
      </c>
      <c r="AG143">
        <v>107.19700622558599</v>
      </c>
      <c r="AH143">
        <v>108.665321350098</v>
      </c>
      <c r="AI143">
        <v>110.380340576172</v>
      </c>
      <c r="AJ143">
        <v>113.819549560547</v>
      </c>
      <c r="AK143">
        <v>114.770050048828</v>
      </c>
      <c r="AL143">
        <v>116.811027526855</v>
      </c>
      <c r="AM143">
        <v>117.23023223877</v>
      </c>
      <c r="AN143">
        <v>119.98664855957</v>
      </c>
      <c r="AO143">
        <v>111.96604919433599</v>
      </c>
      <c r="AQ143">
        <v>107.30722808837901</v>
      </c>
      <c r="AT143">
        <v>102.91982269287099</v>
      </c>
      <c r="AU143">
        <v>100.614151000977</v>
      </c>
      <c r="AV143">
        <v>97.223983764648395</v>
      </c>
      <c r="AW143">
        <v>92.197532653808594</v>
      </c>
      <c r="AX143">
        <v>94.222839355468807</v>
      </c>
      <c r="AY143">
        <v>94.233161926269503</v>
      </c>
      <c r="AZ143">
        <v>94.312141418457003</v>
      </c>
      <c r="BA143">
        <v>94.194023132324205</v>
      </c>
      <c r="BB143">
        <v>92.684631347656193</v>
      </c>
      <c r="BC143">
        <v>97.452858603273796</v>
      </c>
      <c r="BD143">
        <v>97.217319343769603</v>
      </c>
      <c r="BE143">
        <v>97.121397762612503</v>
      </c>
      <c r="BF143">
        <v>97.2127527169757</v>
      </c>
      <c r="BG143">
        <v>97.433058484165997</v>
      </c>
      <c r="BH143">
        <v>97.450854535336305</v>
      </c>
      <c r="BI143">
        <v>96.941162181986797</v>
      </c>
      <c r="BJ143">
        <v>96.624903735159705</v>
      </c>
      <c r="BK143">
        <v>95.9343814573526</v>
      </c>
      <c r="BL143">
        <v>95.473503489063404</v>
      </c>
      <c r="BM143">
        <v>95.233873310318202</v>
      </c>
      <c r="BN143">
        <v>94.459178502415</v>
      </c>
      <c r="BO143">
        <v>92.984646670567798</v>
      </c>
      <c r="BP143">
        <v>91.451142123502606</v>
      </c>
    </row>
    <row r="144" spans="1:70" x14ac:dyDescent="0.3">
      <c r="A144" t="s">
        <v>11</v>
      </c>
      <c r="B144" t="s">
        <v>591</v>
      </c>
      <c r="C144" t="s">
        <v>544</v>
      </c>
      <c r="D144" t="s">
        <v>545</v>
      </c>
      <c r="O144">
        <v>86.319862365722699</v>
      </c>
      <c r="P144">
        <v>56.6880912780762</v>
      </c>
      <c r="Q144">
        <v>58.516571044921903</v>
      </c>
      <c r="R144">
        <v>61.2943305969238</v>
      </c>
      <c r="S144">
        <v>62.195720672607401</v>
      </c>
      <c r="T144">
        <v>63.794410705566399</v>
      </c>
      <c r="U144">
        <v>64.736991882324205</v>
      </c>
      <c r="V144">
        <v>67.387687683105497</v>
      </c>
      <c r="W144">
        <v>67.613059997558594</v>
      </c>
      <c r="X144">
        <v>69.353302001953097</v>
      </c>
      <c r="Y144">
        <v>71.465187072753906</v>
      </c>
      <c r="Z144">
        <v>73.086517333984403</v>
      </c>
      <c r="AA144">
        <v>75.955520629882798</v>
      </c>
      <c r="AB144">
        <v>77.684028625488295</v>
      </c>
      <c r="AC144">
        <v>78.936988830566406</v>
      </c>
      <c r="AD144">
        <v>78.915237426757798</v>
      </c>
      <c r="AE144">
        <v>79.016571044921903</v>
      </c>
      <c r="AF144">
        <v>79.163749694824205</v>
      </c>
      <c r="AG144">
        <v>81.134086608886705</v>
      </c>
      <c r="AH144">
        <v>82.661331176757798</v>
      </c>
      <c r="AI144">
        <v>83.321533203125</v>
      </c>
      <c r="AJ144">
        <v>84.458137512207003</v>
      </c>
      <c r="AK144">
        <v>85.778877258300795</v>
      </c>
      <c r="AL144">
        <v>87.982467651367202</v>
      </c>
      <c r="AM144">
        <v>89.731582641601605</v>
      </c>
      <c r="AN144">
        <v>89.701812744140597</v>
      </c>
      <c r="AO144">
        <v>90.057968139648395</v>
      </c>
      <c r="AP144">
        <v>91.007492065429702</v>
      </c>
      <c r="AQ144">
        <v>90.991409301757798</v>
      </c>
      <c r="AR144">
        <v>92.009689331054702</v>
      </c>
      <c r="AS144">
        <v>93.818763732910199</v>
      </c>
      <c r="AT144">
        <v>93.070472717285199</v>
      </c>
      <c r="AU144">
        <v>93.971740722656193</v>
      </c>
      <c r="AV144">
        <v>98.351989746093807</v>
      </c>
      <c r="AW144">
        <v>99.875350952148395</v>
      </c>
      <c r="AX144">
        <v>101.05068969726599</v>
      </c>
      <c r="AY144">
        <v>101.701522827148</v>
      </c>
      <c r="AZ144">
        <v>102.299362182617</v>
      </c>
      <c r="BA144">
        <v>101.691856384277</v>
      </c>
      <c r="BB144">
        <v>101.343887329102</v>
      </c>
      <c r="BC144">
        <v>101.676071166992</v>
      </c>
      <c r="BD144">
        <v>101.638236999512</v>
      </c>
      <c r="BE144">
        <v>102.941612243652</v>
      </c>
      <c r="BF144">
        <v>103.469032287598</v>
      </c>
      <c r="BG144">
        <v>102.258598327637</v>
      </c>
      <c r="BH144">
        <v>101.940551757812</v>
      </c>
      <c r="BI144">
        <v>104.441192626953</v>
      </c>
      <c r="BJ144">
        <v>103.467361450195</v>
      </c>
      <c r="BK144">
        <v>97.187461853027301</v>
      </c>
      <c r="BL144">
        <v>96.920700073242202</v>
      </c>
      <c r="BM144">
        <v>97.796569824218807</v>
      </c>
      <c r="BN144">
        <v>98.099052429199205</v>
      </c>
      <c r="BO144">
        <v>101.259239196777</v>
      </c>
      <c r="BP144">
        <v>102.509628295898</v>
      </c>
      <c r="BQ144">
        <v>105.35279846191401</v>
      </c>
    </row>
    <row r="145" spans="1:69" x14ac:dyDescent="0.3">
      <c r="A145" t="s">
        <v>592</v>
      </c>
      <c r="B145" t="s">
        <v>593</v>
      </c>
      <c r="C145" t="s">
        <v>544</v>
      </c>
      <c r="D145" t="s">
        <v>545</v>
      </c>
      <c r="O145">
        <v>92.757423400878906</v>
      </c>
      <c r="P145">
        <v>76.289321899414105</v>
      </c>
      <c r="Q145">
        <v>76.973503112792997</v>
      </c>
      <c r="R145">
        <v>79.491081237792997</v>
      </c>
      <c r="S145">
        <v>80.200531005859403</v>
      </c>
      <c r="T145">
        <v>82.827781677246094</v>
      </c>
      <c r="U145">
        <v>84.888038635253906</v>
      </c>
      <c r="V145">
        <v>86.016387939453097</v>
      </c>
      <c r="W145">
        <v>85.511413574218807</v>
      </c>
      <c r="X145">
        <v>86.566200256347699</v>
      </c>
      <c r="Y145">
        <v>88.020042419433594</v>
      </c>
      <c r="Z145">
        <v>89.162750244140597</v>
      </c>
      <c r="AA145">
        <v>90.992752075195298</v>
      </c>
      <c r="AB145">
        <v>92.332107543945298</v>
      </c>
      <c r="AC145">
        <v>93.725753784179702</v>
      </c>
      <c r="AD145">
        <v>94.913833618164105</v>
      </c>
      <c r="AE145">
        <v>95.261688232421903</v>
      </c>
      <c r="AF145">
        <v>95.705589294433594</v>
      </c>
      <c r="AG145">
        <v>96.326423645019503</v>
      </c>
      <c r="AH145">
        <v>96.004753112792997</v>
      </c>
      <c r="AI145">
        <v>95.364898681640597</v>
      </c>
      <c r="AJ145">
        <v>95.135169982910199</v>
      </c>
      <c r="AK145">
        <v>95.020698547363295</v>
      </c>
      <c r="AL145">
        <v>95.618721008300795</v>
      </c>
      <c r="AM145">
        <v>96.208480834960895</v>
      </c>
      <c r="AN145">
        <v>95.645431518554702</v>
      </c>
      <c r="AO145">
        <v>95.592559814453097</v>
      </c>
      <c r="AP145">
        <v>97.010490417480497</v>
      </c>
      <c r="AQ145">
        <v>96.350151062011705</v>
      </c>
      <c r="AR145">
        <v>97.933197021484403</v>
      </c>
      <c r="AS145">
        <v>98.647567749023395</v>
      </c>
      <c r="AT145">
        <v>98.693298339843807</v>
      </c>
      <c r="AU145">
        <v>99.028938293457003</v>
      </c>
      <c r="AV145">
        <v>100.71591949462901</v>
      </c>
      <c r="AW145">
        <v>101.381271362305</v>
      </c>
      <c r="AX145">
        <v>101.53424072265599</v>
      </c>
      <c r="AY145">
        <v>101.50363922119099</v>
      </c>
      <c r="AZ145">
        <v>102.593101501465</v>
      </c>
      <c r="BA145">
        <v>102.823280334473</v>
      </c>
      <c r="BB145">
        <v>102.651176452637</v>
      </c>
      <c r="BC145">
        <v>102.46713256835901</v>
      </c>
      <c r="BD145">
        <v>102.345336914062</v>
      </c>
      <c r="BE145">
        <v>102.94985198974599</v>
      </c>
      <c r="BF145">
        <v>103.18646240234401</v>
      </c>
      <c r="BG145">
        <v>101.694442749023</v>
      </c>
      <c r="BH145">
        <v>101.003120422363</v>
      </c>
      <c r="BI145">
        <v>102.26734924316401</v>
      </c>
      <c r="BJ145">
        <v>101.818687438965</v>
      </c>
      <c r="BK145">
        <v>98.904220581054702</v>
      </c>
      <c r="BL145">
        <v>98.909553527832003</v>
      </c>
      <c r="BM145">
        <v>99.506530761718807</v>
      </c>
      <c r="BN145">
        <v>99.359947204589801</v>
      </c>
      <c r="BO145">
        <v>100.429801940918</v>
      </c>
      <c r="BP145">
        <v>100.77390289306599</v>
      </c>
      <c r="BQ145">
        <v>102.346519470215</v>
      </c>
    </row>
    <row r="146" spans="1:69" x14ac:dyDescent="0.3">
      <c r="A146" t="s">
        <v>149</v>
      </c>
      <c r="B146" t="s">
        <v>367</v>
      </c>
      <c r="C146" t="s">
        <v>544</v>
      </c>
      <c r="D146" t="s">
        <v>545</v>
      </c>
      <c r="O146">
        <v>90.076301574707003</v>
      </c>
      <c r="P146">
        <v>86.157356262207003</v>
      </c>
      <c r="Q146">
        <v>86.835212707519503</v>
      </c>
      <c r="R146">
        <v>90.451103210449205</v>
      </c>
      <c r="S146">
        <v>103.09758758544901</v>
      </c>
      <c r="T146">
        <v>102.782112121582</v>
      </c>
      <c r="U146">
        <v>100.59767913818401</v>
      </c>
      <c r="V146">
        <v>100.376602172852</v>
      </c>
      <c r="W146">
        <v>98.944839477539105</v>
      </c>
      <c r="X146">
        <v>99.080703735351605</v>
      </c>
      <c r="Y146">
        <v>99.675132751464801</v>
      </c>
      <c r="Z146">
        <v>101.73307800293</v>
      </c>
      <c r="AA146">
        <v>104.993461608887</v>
      </c>
      <c r="AB146">
        <v>104.97487640380901</v>
      </c>
      <c r="AC146">
        <v>103.46621704101599</v>
      </c>
      <c r="AD146">
        <v>104.89283752441401</v>
      </c>
      <c r="AE146">
        <v>102.513633728027</v>
      </c>
      <c r="AF146">
        <v>107.438117980957</v>
      </c>
      <c r="AG146">
        <v>108.25025939941401</v>
      </c>
      <c r="AH146">
        <v>105.913932800293</v>
      </c>
      <c r="AI146">
        <v>103.68466186523401</v>
      </c>
      <c r="AJ146">
        <v>103.67572021484401</v>
      </c>
      <c r="AK146">
        <v>101.592277526855</v>
      </c>
      <c r="AL146">
        <v>97.064842224121094</v>
      </c>
      <c r="AM146">
        <v>98.195770263671903</v>
      </c>
      <c r="AN146">
        <v>99.269416809082003</v>
      </c>
      <c r="AO146">
        <v>97.073753356933594</v>
      </c>
      <c r="AP146">
        <v>94.859176635742202</v>
      </c>
      <c r="AQ146">
        <v>95.488807678222699</v>
      </c>
      <c r="AR146">
        <v>95.259613037109403</v>
      </c>
      <c r="AS146">
        <v>108.976371765137</v>
      </c>
      <c r="AT146">
        <v>112.82821655273401</v>
      </c>
      <c r="AU146">
        <v>116.67520904541</v>
      </c>
      <c r="AV146">
        <v>122.545356750488</v>
      </c>
      <c r="AW146">
        <v>124.347053527832</v>
      </c>
      <c r="AX146">
        <v>125.938102722168</v>
      </c>
      <c r="AY146">
        <v>129.97634887695301</v>
      </c>
      <c r="AZ146">
        <v>124.02805328369099</v>
      </c>
      <c r="BA146">
        <v>122.51393890380901</v>
      </c>
      <c r="BB146">
        <v>119.620330810547</v>
      </c>
      <c r="BC146">
        <v>118.573860412332</v>
      </c>
      <c r="BD146">
        <v>117.181528807654</v>
      </c>
      <c r="BE146">
        <v>115.307928873959</v>
      </c>
      <c r="BF146">
        <v>110.493088742815</v>
      </c>
      <c r="BG146">
        <v>107.843876685208</v>
      </c>
      <c r="BH146">
        <v>105.217264805575</v>
      </c>
      <c r="BI146">
        <v>104.24937364723699</v>
      </c>
      <c r="BJ146">
        <v>105.559253372505</v>
      </c>
      <c r="BK146">
        <v>96.0052004309251</v>
      </c>
      <c r="BL146">
        <v>91.278738256965596</v>
      </c>
      <c r="BM146">
        <v>87.744735869966703</v>
      </c>
      <c r="BN146">
        <v>85.036618601123905</v>
      </c>
      <c r="BO146">
        <v>83.634302243955702</v>
      </c>
      <c r="BP146">
        <v>81.641223970735197</v>
      </c>
      <c r="BQ146">
        <v>80.1830208282055</v>
      </c>
    </row>
    <row r="147" spans="1:69" x14ac:dyDescent="0.3">
      <c r="A147" t="s">
        <v>594</v>
      </c>
      <c r="B147" t="s">
        <v>595</v>
      </c>
      <c r="C147" t="s">
        <v>544</v>
      </c>
      <c r="D147" t="s">
        <v>545</v>
      </c>
      <c r="O147">
        <v>110.27044677734401</v>
      </c>
      <c r="P147">
        <v>107.356330871582</v>
      </c>
      <c r="Q147">
        <v>104.156448364258</v>
      </c>
      <c r="R147">
        <v>105.03246307373</v>
      </c>
      <c r="S147">
        <v>103.823837280273</v>
      </c>
      <c r="T147">
        <v>107.709678649902</v>
      </c>
      <c r="U147">
        <v>111.142288208008</v>
      </c>
      <c r="V147">
        <v>110.33096313476599</v>
      </c>
      <c r="W147">
        <v>107.79302978515599</v>
      </c>
      <c r="X147">
        <v>107.36181640625</v>
      </c>
      <c r="Y147">
        <v>107.22289276123</v>
      </c>
      <c r="Z147">
        <v>108.62957000732401</v>
      </c>
      <c r="AA147">
        <v>109.600387573242</v>
      </c>
      <c r="AB147">
        <v>111.557823181152</v>
      </c>
      <c r="AC147">
        <v>113.88320159912099</v>
      </c>
      <c r="AD147">
        <v>118.207878112793</v>
      </c>
      <c r="AE147">
        <v>120.866256713867</v>
      </c>
      <c r="AF147">
        <v>123.683158874512</v>
      </c>
      <c r="AG147">
        <v>122.843063354492</v>
      </c>
      <c r="AH147">
        <v>119.818069458008</v>
      </c>
      <c r="AI147">
        <v>117.00057220459</v>
      </c>
      <c r="AJ147">
        <v>114.45012664794901</v>
      </c>
      <c r="AK147">
        <v>113.06723022460901</v>
      </c>
      <c r="AL147">
        <v>112.067672729492</v>
      </c>
      <c r="AM147">
        <v>111.651077270508</v>
      </c>
      <c r="AN147">
        <v>109.94383239746099</v>
      </c>
      <c r="AO147">
        <v>109.29888916015599</v>
      </c>
      <c r="AP147">
        <v>111.686279296875</v>
      </c>
      <c r="AQ147">
        <v>108.919082641602</v>
      </c>
      <c r="AR147">
        <v>112.748153686523</v>
      </c>
      <c r="AS147">
        <v>112.980796813965</v>
      </c>
      <c r="AT147">
        <v>113.74167633056599</v>
      </c>
      <c r="AU147">
        <v>112.10669708252</v>
      </c>
      <c r="AV147">
        <v>110.41258239746099</v>
      </c>
      <c r="AW147">
        <v>108.690711975098</v>
      </c>
      <c r="AX147">
        <v>106.46743774414099</v>
      </c>
      <c r="AY147">
        <v>104.479118347168</v>
      </c>
      <c r="AZ147">
        <v>105.651641845703</v>
      </c>
      <c r="BA147">
        <v>105.86750030517599</v>
      </c>
      <c r="BB147">
        <v>105.161987304688</v>
      </c>
      <c r="BC147">
        <v>103.82131195068401</v>
      </c>
      <c r="BD147">
        <v>103.28489685058599</v>
      </c>
      <c r="BE147">
        <v>102.94711303710901</v>
      </c>
      <c r="BF147">
        <v>103.25714111328099</v>
      </c>
      <c r="BG147">
        <v>100.422798156738</v>
      </c>
      <c r="BH147">
        <v>99.789421081542997</v>
      </c>
      <c r="BI147">
        <v>100.017288208008</v>
      </c>
      <c r="BJ147">
        <v>100.372421264648</v>
      </c>
      <c r="BK147">
        <v>100.352249145508</v>
      </c>
      <c r="BL147">
        <v>100.15087890625</v>
      </c>
      <c r="BM147">
        <v>100.25121307373</v>
      </c>
      <c r="BN147">
        <v>100.279541015625</v>
      </c>
      <c r="BO147">
        <v>100.71588134765599</v>
      </c>
      <c r="BP147">
        <v>99.965911865234403</v>
      </c>
      <c r="BQ147">
        <v>100.273399353027</v>
      </c>
    </row>
    <row r="148" spans="1:69" x14ac:dyDescent="0.3">
      <c r="A148" t="s">
        <v>153</v>
      </c>
      <c r="B148" t="s">
        <v>371</v>
      </c>
      <c r="C148" t="s">
        <v>544</v>
      </c>
      <c r="D148" t="s">
        <v>545</v>
      </c>
      <c r="AS148">
        <v>103.144233703613</v>
      </c>
      <c r="AT148">
        <v>103.148803710938</v>
      </c>
      <c r="AU148">
        <v>103.10414886474599</v>
      </c>
      <c r="AV148">
        <v>102.963088989258</v>
      </c>
      <c r="AW148">
        <v>103.970291137695</v>
      </c>
      <c r="AX148">
        <v>102.84455871582</v>
      </c>
      <c r="AY148">
        <v>102.02874755859401</v>
      </c>
      <c r="AZ148">
        <v>101.104446411133</v>
      </c>
      <c r="BA148">
        <v>99.499267578125</v>
      </c>
      <c r="BB148">
        <v>99.9498291015625</v>
      </c>
      <c r="BC148">
        <v>100.421501159668</v>
      </c>
      <c r="BD148">
        <v>101.251838684082</v>
      </c>
      <c r="BE148">
        <v>101.85440826416</v>
      </c>
      <c r="BF148">
        <v>101.75457763671901</v>
      </c>
      <c r="BG148">
        <v>100.97788238525401</v>
      </c>
      <c r="BH148">
        <v>101.542343139648</v>
      </c>
      <c r="BI148">
        <v>104.223098754883</v>
      </c>
      <c r="BJ148">
        <v>106.41094970703099</v>
      </c>
      <c r="BK148">
        <v>106.05738067627</v>
      </c>
      <c r="BL148">
        <v>104.706062316895</v>
      </c>
      <c r="BM148">
        <v>103.46824645996099</v>
      </c>
      <c r="BN148">
        <v>101.152992248535</v>
      </c>
      <c r="BO148">
        <v>101.90583038330099</v>
      </c>
      <c r="BP148">
        <v>102.67994689941401</v>
      </c>
    </row>
    <row r="149" spans="1:69" x14ac:dyDescent="0.3">
      <c r="A149" t="s">
        <v>154</v>
      </c>
      <c r="B149" t="s">
        <v>372</v>
      </c>
      <c r="C149" t="s">
        <v>544</v>
      </c>
      <c r="D149" t="s">
        <v>545</v>
      </c>
      <c r="AS149">
        <v>98.241470336914105</v>
      </c>
      <c r="AT149">
        <v>99.378616333007798</v>
      </c>
      <c r="AU149">
        <v>99.791397094726605</v>
      </c>
      <c r="AV149">
        <v>99.110130310058594</v>
      </c>
      <c r="AW149">
        <v>99.097892761230497</v>
      </c>
      <c r="AX149">
        <v>99.865959167480497</v>
      </c>
      <c r="AY149">
        <v>99.640029907226605</v>
      </c>
      <c r="AZ149">
        <v>99.517311096191406</v>
      </c>
      <c r="BA149">
        <v>99.181610107421903</v>
      </c>
      <c r="BC149">
        <v>98.003013610839801</v>
      </c>
      <c r="BD149">
        <v>96.298843383789105</v>
      </c>
      <c r="BE149">
        <v>98.736396789550795</v>
      </c>
      <c r="BF149">
        <v>97.729347229003906</v>
      </c>
      <c r="BG149">
        <v>97.306129455566406</v>
      </c>
      <c r="BH149">
        <v>97.402252197265597</v>
      </c>
      <c r="BI149">
        <v>97.409568786621094</v>
      </c>
      <c r="BJ149">
        <v>96.735198974609403</v>
      </c>
      <c r="BK149">
        <v>97.342849731445298</v>
      </c>
      <c r="BL149">
        <v>98.334548950195298</v>
      </c>
      <c r="BM149">
        <v>98.644248962402301</v>
      </c>
      <c r="BN149">
        <v>98.475837707519503</v>
      </c>
      <c r="BO149">
        <v>99.484260559082003</v>
      </c>
      <c r="BP149">
        <v>99.064460754394503</v>
      </c>
    </row>
    <row r="150" spans="1:69" x14ac:dyDescent="0.3">
      <c r="A150" t="s">
        <v>147</v>
      </c>
      <c r="B150" t="s">
        <v>365</v>
      </c>
      <c r="C150" t="s">
        <v>544</v>
      </c>
      <c r="D150" t="s">
        <v>545</v>
      </c>
      <c r="AS150">
        <v>101.699783325195</v>
      </c>
      <c r="AT150">
        <v>103.411827087402</v>
      </c>
      <c r="AU150">
        <v>104.02027130127</v>
      </c>
      <c r="AV150">
        <v>105.016151428223</v>
      </c>
      <c r="AW150">
        <v>105.49057769775401</v>
      </c>
      <c r="AX150">
        <v>104.84397888183599</v>
      </c>
      <c r="AY150">
        <v>104.261993408203</v>
      </c>
      <c r="AZ150">
        <v>104.21336364746099</v>
      </c>
      <c r="BA150">
        <v>103.54859924316401</v>
      </c>
      <c r="BB150">
        <v>102.918098449707</v>
      </c>
      <c r="BC150">
        <v>102.958602905273</v>
      </c>
      <c r="BD150">
        <v>102.285652160645</v>
      </c>
      <c r="BE150">
        <v>101.048713684082</v>
      </c>
      <c r="BF150">
        <v>100.386268615723</v>
      </c>
      <c r="BG150">
        <v>99.852821350097699</v>
      </c>
      <c r="BH150">
        <v>99.393318176269503</v>
      </c>
      <c r="BI150">
        <v>99.198547363281193</v>
      </c>
      <c r="BJ150">
        <v>99.367843627929702</v>
      </c>
      <c r="BK150">
        <v>99.614387512207003</v>
      </c>
      <c r="BL150">
        <v>99.983436584472699</v>
      </c>
      <c r="BM150">
        <v>99.832847595214801</v>
      </c>
      <c r="BN150">
        <v>99.740768432617202</v>
      </c>
      <c r="BO150">
        <v>99.41796875</v>
      </c>
      <c r="BP150">
        <v>98.466636657714801</v>
      </c>
    </row>
    <row r="151" spans="1:69" x14ac:dyDescent="0.3">
      <c r="A151" t="s">
        <v>155</v>
      </c>
      <c r="B151" t="s">
        <v>373</v>
      </c>
      <c r="C151" t="s">
        <v>544</v>
      </c>
      <c r="D151" t="s">
        <v>545</v>
      </c>
      <c r="AT151">
        <v>103.473831176758</v>
      </c>
      <c r="AU151">
        <v>106.838760375977</v>
      </c>
      <c r="AV151">
        <v>105.16847991943401</v>
      </c>
      <c r="AW151">
        <v>105.10333251953099</v>
      </c>
      <c r="AX151">
        <v>102.85455322265599</v>
      </c>
      <c r="AY151">
        <v>100.32633972168</v>
      </c>
      <c r="AZ151">
        <v>101.569869995117</v>
      </c>
      <c r="BA151">
        <v>102.43254852294901</v>
      </c>
      <c r="BB151">
        <v>101.260093688965</v>
      </c>
      <c r="BC151">
        <v>101.16641367739901</v>
      </c>
      <c r="BD151">
        <v>102.676451543276</v>
      </c>
      <c r="BE151">
        <v>99.324561403508795</v>
      </c>
      <c r="BF151">
        <v>99.690582959641304</v>
      </c>
      <c r="BG151">
        <v>100.713656387665</v>
      </c>
      <c r="BH151">
        <v>99.802469135802497</v>
      </c>
      <c r="BI151">
        <v>101.287356321839</v>
      </c>
      <c r="BJ151">
        <v>105.325925925926</v>
      </c>
      <c r="BK151">
        <v>101.238255033557</v>
      </c>
      <c r="BL151">
        <v>96.242603550295897</v>
      </c>
      <c r="BM151">
        <v>92.789617486338798</v>
      </c>
      <c r="BN151">
        <v>89.070351758794004</v>
      </c>
      <c r="BO151">
        <v>84.967667436489606</v>
      </c>
      <c r="BP151">
        <v>86.424657534246606</v>
      </c>
      <c r="BQ151">
        <v>89.810304449648697</v>
      </c>
    </row>
    <row r="152" spans="1:69" x14ac:dyDescent="0.3">
      <c r="A152" t="s">
        <v>219</v>
      </c>
      <c r="B152" t="s">
        <v>441</v>
      </c>
      <c r="C152" t="s">
        <v>544</v>
      </c>
      <c r="D152" t="s">
        <v>545</v>
      </c>
    </row>
    <row r="153" spans="1:69" x14ac:dyDescent="0.3">
      <c r="A153" t="s">
        <v>171</v>
      </c>
      <c r="B153" t="s">
        <v>389</v>
      </c>
      <c r="C153" t="s">
        <v>544</v>
      </c>
      <c r="D153" t="s">
        <v>545</v>
      </c>
      <c r="P153">
        <v>52.377120971679702</v>
      </c>
      <c r="Q153">
        <v>53.5718383789062</v>
      </c>
      <c r="R153">
        <v>54.168949127197301</v>
      </c>
      <c r="S153">
        <v>55.633049011230497</v>
      </c>
      <c r="T153">
        <v>57.774650573730497</v>
      </c>
      <c r="U153">
        <v>62.166408538818402</v>
      </c>
      <c r="V153">
        <v>65.896667480468807</v>
      </c>
      <c r="W153">
        <v>69.535018920898395</v>
      </c>
      <c r="X153">
        <v>73.206451416015597</v>
      </c>
      <c r="Y153">
        <v>76.473777770996094</v>
      </c>
      <c r="Z153">
        <v>79.217453002929702</v>
      </c>
      <c r="AA153">
        <v>82.4622802734375</v>
      </c>
      <c r="AB153">
        <v>85.440376281738295</v>
      </c>
      <c r="AC153">
        <v>84.825660705566406</v>
      </c>
      <c r="AD153">
        <v>76.751129150390597</v>
      </c>
      <c r="AE153">
        <v>75.532791137695298</v>
      </c>
      <c r="AF153">
        <v>72.629707336425795</v>
      </c>
      <c r="AG153">
        <v>69.715499877929702</v>
      </c>
      <c r="AH153">
        <v>66.2576904296875</v>
      </c>
      <c r="AI153">
        <v>66.5823974609375</v>
      </c>
      <c r="AJ153">
        <v>63.460258483886697</v>
      </c>
      <c r="AK153">
        <v>65.151962280273395</v>
      </c>
      <c r="AL153">
        <v>68.538101196289105</v>
      </c>
      <c r="AM153">
        <v>72.214141845703097</v>
      </c>
      <c r="AN153">
        <v>75.9329833984375</v>
      </c>
      <c r="AO153">
        <v>78.816909790039105</v>
      </c>
      <c r="AP153">
        <v>80.668838500976605</v>
      </c>
      <c r="AQ153">
        <v>83.057060241699205</v>
      </c>
      <c r="AR153">
        <v>88.355278015136705</v>
      </c>
      <c r="AS153">
        <v>93.779067993164105</v>
      </c>
      <c r="AT153">
        <v>98.267349243164105</v>
      </c>
      <c r="AU153">
        <v>103.363227844238</v>
      </c>
      <c r="AV153">
        <v>105.97434234619099</v>
      </c>
      <c r="AW153">
        <v>106.015579223633</v>
      </c>
      <c r="AX153">
        <v>105.914749145508</v>
      </c>
      <c r="AY153">
        <v>104.963706970215</v>
      </c>
      <c r="AZ153">
        <v>105.59765625</v>
      </c>
      <c r="BA153">
        <v>104.362167358398</v>
      </c>
      <c r="BB153">
        <v>104.07991027832</v>
      </c>
      <c r="BC153">
        <v>107.166739963715</v>
      </c>
      <c r="BD153">
        <v>108.872184910968</v>
      </c>
      <c r="BE153">
        <v>108.773776884177</v>
      </c>
      <c r="BF153">
        <v>108.130874044354</v>
      </c>
      <c r="BG153">
        <v>107.319519161584</v>
      </c>
      <c r="BH153">
        <v>106.046255203021</v>
      </c>
      <c r="BI153">
        <v>105.897808666144</v>
      </c>
      <c r="BJ153">
        <v>106.856009139924</v>
      </c>
      <c r="BK153">
        <v>108.263128143079</v>
      </c>
      <c r="BL153">
        <v>110.072941907486</v>
      </c>
      <c r="BM153">
        <v>112.35403746093201</v>
      </c>
      <c r="BN153">
        <v>112.94088228676399</v>
      </c>
      <c r="BO153">
        <v>116.554648725847</v>
      </c>
      <c r="BP153">
        <v>117.598816130003</v>
      </c>
      <c r="BQ153">
        <v>116.588650279809</v>
      </c>
    </row>
    <row r="154" spans="1:69" x14ac:dyDescent="0.3">
      <c r="A154" t="s">
        <v>168</v>
      </c>
      <c r="B154" t="s">
        <v>386</v>
      </c>
      <c r="C154" t="s">
        <v>544</v>
      </c>
      <c r="D154" t="s">
        <v>545</v>
      </c>
      <c r="P154">
        <v>136.83241271972699</v>
      </c>
      <c r="Q154">
        <v>131.62089538574199</v>
      </c>
      <c r="W154">
        <v>125.241157531738</v>
      </c>
      <c r="AB154">
        <v>120.677360534668</v>
      </c>
      <c r="AJ154">
        <v>137.33540344238301</v>
      </c>
      <c r="AK154">
        <v>136.194900512695</v>
      </c>
      <c r="AM154">
        <v>140.91615295410199</v>
      </c>
      <c r="AN154">
        <v>141.38461303710901</v>
      </c>
      <c r="AO154">
        <v>142.43792724609401</v>
      </c>
      <c r="AP154">
        <v>137.46418762207</v>
      </c>
      <c r="AQ154">
        <v>132.25152587890599</v>
      </c>
      <c r="AR154">
        <v>133.02632141113301</v>
      </c>
      <c r="AS154">
        <v>132.71646118164099</v>
      </c>
      <c r="BA154">
        <v>124.21193695068401</v>
      </c>
      <c r="BI154">
        <v>142.41993713378901</v>
      </c>
      <c r="BQ154">
        <v>120.58309173584</v>
      </c>
    </row>
    <row r="155" spans="1:69" x14ac:dyDescent="0.3">
      <c r="A155" t="s">
        <v>167</v>
      </c>
      <c r="B155" t="s">
        <v>385</v>
      </c>
      <c r="C155" t="s">
        <v>544</v>
      </c>
      <c r="D155" t="s">
        <v>545</v>
      </c>
      <c r="BC155">
        <v>93.5407792138963</v>
      </c>
      <c r="BD155">
        <v>93.6029804526123</v>
      </c>
      <c r="BE155">
        <v>93.797970467172902</v>
      </c>
      <c r="BF155">
        <v>93.764918086145201</v>
      </c>
      <c r="BG155">
        <v>107.431409833521</v>
      </c>
      <c r="BH155">
        <v>105.727652234967</v>
      </c>
      <c r="BI155">
        <v>104.469976581506</v>
      </c>
      <c r="BJ155">
        <v>103.68576148591301</v>
      </c>
      <c r="BK155">
        <v>103.33738893190301</v>
      </c>
      <c r="BL155">
        <v>105.07492342081299</v>
      </c>
      <c r="BM155">
        <v>106.519975508955</v>
      </c>
      <c r="BN155">
        <v>106.778422255742</v>
      </c>
      <c r="BO155">
        <v>106.97324544397</v>
      </c>
      <c r="BP155">
        <v>106.673559179739</v>
      </c>
      <c r="BQ155">
        <v>107.605837807201</v>
      </c>
    </row>
    <row r="156" spans="1:69" x14ac:dyDescent="0.3">
      <c r="A156" t="s">
        <v>156</v>
      </c>
      <c r="B156" t="s">
        <v>374</v>
      </c>
      <c r="C156" t="s">
        <v>544</v>
      </c>
      <c r="D156" t="s">
        <v>545</v>
      </c>
      <c r="P156">
        <v>81.443077087402301</v>
      </c>
      <c r="Q156">
        <v>85.295722961425795</v>
      </c>
      <c r="R156">
        <v>85.429702758789105</v>
      </c>
      <c r="S156">
        <v>83.462318420410199</v>
      </c>
      <c r="T156">
        <v>88.734039306640597</v>
      </c>
      <c r="U156">
        <v>91.709808349609403</v>
      </c>
      <c r="V156">
        <v>112.65305328369099</v>
      </c>
      <c r="W156">
        <v>115.59544372558599</v>
      </c>
      <c r="X156">
        <v>115.63038635253901</v>
      </c>
      <c r="Y156">
        <v>122.351768493652</v>
      </c>
      <c r="Z156">
        <v>127.42360687255901</v>
      </c>
      <c r="AA156">
        <v>123.79897308349599</v>
      </c>
      <c r="AB156">
        <v>117.933486938477</v>
      </c>
      <c r="AC156">
        <v>111.032112121582</v>
      </c>
      <c r="AD156">
        <v>106.10903930664099</v>
      </c>
      <c r="AG156">
        <v>89.733039855957003</v>
      </c>
      <c r="AH156">
        <v>90.456062316894503</v>
      </c>
      <c r="AI156">
        <v>87.310462951660199</v>
      </c>
      <c r="AJ156">
        <v>88.811798095703097</v>
      </c>
      <c r="AK156">
        <v>82.815521240234403</v>
      </c>
      <c r="AL156">
        <v>80.719551086425795</v>
      </c>
      <c r="AM156">
        <v>79.659439086914105</v>
      </c>
      <c r="AN156">
        <v>77.959312438964801</v>
      </c>
      <c r="AO156">
        <v>82.107482910156193</v>
      </c>
      <c r="AQ156">
        <v>88.422080993652301</v>
      </c>
      <c r="AR156">
        <v>90.72509765625</v>
      </c>
      <c r="AS156">
        <v>95.847427368164105</v>
      </c>
      <c r="AT156">
        <v>96.349411010742202</v>
      </c>
      <c r="AU156">
        <v>96.687683105468807</v>
      </c>
      <c r="AV156">
        <v>110.26619720459</v>
      </c>
      <c r="AW156">
        <v>124.89672088623</v>
      </c>
      <c r="AX156">
        <v>128.54791259765599</v>
      </c>
      <c r="AY156">
        <v>127.919273376465</v>
      </c>
      <c r="AZ156">
        <v>129.29437255859401</v>
      </c>
      <c r="BA156">
        <v>132.61920166015599</v>
      </c>
      <c r="BB156">
        <v>140.266357421875</v>
      </c>
      <c r="BC156">
        <v>135.67319320315701</v>
      </c>
      <c r="BD156">
        <v>135.66302404333101</v>
      </c>
      <c r="BE156">
        <v>136.43559263207499</v>
      </c>
      <c r="BF156">
        <v>136.436484265628</v>
      </c>
      <c r="BG156">
        <v>137.445786724101</v>
      </c>
      <c r="BH156">
        <v>138.83320077187801</v>
      </c>
      <c r="BI156">
        <v>134.67659245653601</v>
      </c>
      <c r="BJ156">
        <v>139.18667028598901</v>
      </c>
      <c r="BK156">
        <v>132.68929816089599</v>
      </c>
      <c r="BL156">
        <v>124.946579330031</v>
      </c>
      <c r="BM156">
        <v>126.585803806645</v>
      </c>
      <c r="BN156">
        <v>140.26566251080001</v>
      </c>
      <c r="BO156">
        <v>132.887817840118</v>
      </c>
      <c r="BP156">
        <v>130.59903964252101</v>
      </c>
      <c r="BQ156">
        <v>132.73958355273001</v>
      </c>
    </row>
    <row r="157" spans="1:69" x14ac:dyDescent="0.3">
      <c r="A157" t="s">
        <v>159</v>
      </c>
      <c r="B157" t="s">
        <v>377</v>
      </c>
      <c r="C157" t="s">
        <v>544</v>
      </c>
      <c r="D157" t="s">
        <v>545</v>
      </c>
      <c r="Y157">
        <v>130.94291687011699</v>
      </c>
      <c r="AA157">
        <v>139.53012084960901</v>
      </c>
      <c r="AE157">
        <v>147.69224548339801</v>
      </c>
      <c r="AK157">
        <v>120.265823364258</v>
      </c>
      <c r="AL157">
        <v>122.76676940918</v>
      </c>
      <c r="AM157">
        <v>125.378608703613</v>
      </c>
      <c r="AN157">
        <v>122.301239013672</v>
      </c>
      <c r="AO157">
        <v>122.223022460938</v>
      </c>
      <c r="AP157">
        <v>119.35652923584</v>
      </c>
      <c r="AQ157">
        <v>125.33071899414099</v>
      </c>
      <c r="AR157">
        <v>126.68080902099599</v>
      </c>
      <c r="AS157">
        <v>126.98976898193401</v>
      </c>
      <c r="AT157">
        <v>124.485786437988</v>
      </c>
      <c r="AU157">
        <v>121.84113311767599</v>
      </c>
      <c r="AV157">
        <v>121.19751739502</v>
      </c>
      <c r="AW157">
        <v>119.83869934082</v>
      </c>
      <c r="AX157">
        <v>113.929962158203</v>
      </c>
      <c r="AY157">
        <v>112.38559722900401</v>
      </c>
      <c r="AZ157">
        <v>107.563919067383</v>
      </c>
      <c r="BA157">
        <v>105.335929870605</v>
      </c>
      <c r="BB157">
        <v>104.55918121337901</v>
      </c>
      <c r="BC157">
        <v>102.100165482332</v>
      </c>
      <c r="BD157">
        <v>100.38204155014</v>
      </c>
      <c r="BE157">
        <v>97.474709250990202</v>
      </c>
      <c r="BF157">
        <v>95.768748432405303</v>
      </c>
      <c r="BG157">
        <v>96.807339449541303</v>
      </c>
      <c r="BH157">
        <v>99.006109022556402</v>
      </c>
      <c r="BI157">
        <v>98.256532386708301</v>
      </c>
      <c r="BJ157">
        <v>97.147266219431202</v>
      </c>
      <c r="BK157">
        <v>96.640615409795799</v>
      </c>
      <c r="BL157">
        <v>96.862983598838596</v>
      </c>
      <c r="BM157">
        <v>97.178445296775905</v>
      </c>
      <c r="BO157">
        <v>96.014742650228499</v>
      </c>
      <c r="BP157">
        <v>100.477973568282</v>
      </c>
      <c r="BQ157">
        <v>99.7145381635289</v>
      </c>
    </row>
    <row r="158" spans="1:69" x14ac:dyDescent="0.3">
      <c r="A158" t="s">
        <v>20</v>
      </c>
      <c r="B158" t="s">
        <v>596</v>
      </c>
      <c r="C158" t="s">
        <v>544</v>
      </c>
      <c r="D158" t="s">
        <v>545</v>
      </c>
      <c r="O158">
        <v>69.032638549804702</v>
      </c>
      <c r="P158">
        <v>65.833389282226605</v>
      </c>
      <c r="Q158">
        <v>67.449409484863295</v>
      </c>
      <c r="R158">
        <v>68.280670166015597</v>
      </c>
      <c r="S158">
        <v>69.402847290039105</v>
      </c>
      <c r="T158">
        <v>71.339859008789105</v>
      </c>
      <c r="U158">
        <v>73.059539794921903</v>
      </c>
      <c r="V158">
        <v>74.234161376953097</v>
      </c>
      <c r="W158">
        <v>73.2586669921875</v>
      </c>
      <c r="X158">
        <v>66.787391662597699</v>
      </c>
      <c r="Y158">
        <v>74.313087463378906</v>
      </c>
      <c r="Z158">
        <v>74.302696228027301</v>
      </c>
      <c r="AA158">
        <v>74.545837402343807</v>
      </c>
      <c r="AB158">
        <v>75.855857849121094</v>
      </c>
      <c r="AC158">
        <v>76.740951538085895</v>
      </c>
      <c r="AD158">
        <v>77.017341613769503</v>
      </c>
      <c r="AE158">
        <v>77.6368408203125</v>
      </c>
      <c r="AF158">
        <v>78.792457580566406</v>
      </c>
      <c r="AG158">
        <v>79.407669067382798</v>
      </c>
      <c r="AH158">
        <v>79.084869384765597</v>
      </c>
      <c r="AI158">
        <v>79.582321166992202</v>
      </c>
      <c r="AJ158">
        <v>80.551559448242202</v>
      </c>
      <c r="AK158">
        <v>79.255020141601605</v>
      </c>
      <c r="AL158">
        <v>79.438491821289105</v>
      </c>
      <c r="AM158">
        <v>81.073623657226605</v>
      </c>
      <c r="AN158">
        <v>80.311973571777301</v>
      </c>
      <c r="AO158">
        <v>81.297798156738295</v>
      </c>
      <c r="AP158">
        <v>81.303466796875</v>
      </c>
      <c r="AQ158">
        <v>81.334739685058594</v>
      </c>
      <c r="AR158">
        <v>81.473480224609403</v>
      </c>
      <c r="AS158">
        <v>81.636016845703097</v>
      </c>
      <c r="AT158">
        <v>82.172378540039105</v>
      </c>
      <c r="AU158">
        <v>85.485122680664105</v>
      </c>
      <c r="AV158">
        <v>87.835578918457003</v>
      </c>
      <c r="AW158">
        <v>89.846138000488295</v>
      </c>
      <c r="AX158">
        <v>90.065017700195298</v>
      </c>
      <c r="AY158">
        <v>89.358802795410199</v>
      </c>
      <c r="AZ158">
        <v>90.211128234863295</v>
      </c>
      <c r="BA158">
        <v>90.211456298828097</v>
      </c>
      <c r="BB158">
        <v>90.034568786621094</v>
      </c>
      <c r="BC158">
        <v>90.827049255371094</v>
      </c>
      <c r="BD158">
        <v>89.395011901855497</v>
      </c>
      <c r="BE158">
        <v>90.349983215332003</v>
      </c>
      <c r="BF158">
        <v>89.183998107910199</v>
      </c>
      <c r="BG158">
        <v>89.133987426757798</v>
      </c>
      <c r="BH158">
        <v>88.708656311035199</v>
      </c>
      <c r="BI158">
        <v>90.116142272949205</v>
      </c>
      <c r="BJ158">
        <v>89.8634033203125</v>
      </c>
      <c r="BK158">
        <v>91.056686401367202</v>
      </c>
      <c r="BL158">
        <v>91.806678771972699</v>
      </c>
      <c r="BM158">
        <v>92.209159851074205</v>
      </c>
      <c r="BN158">
        <v>92.261436462402301</v>
      </c>
      <c r="BO158">
        <v>91.515403747558594</v>
      </c>
      <c r="BP158">
        <v>93.552551269531193</v>
      </c>
      <c r="BQ158">
        <v>94.632553100585895</v>
      </c>
    </row>
    <row r="159" spans="1:69" x14ac:dyDescent="0.3">
      <c r="A159" t="s">
        <v>165</v>
      </c>
      <c r="B159" t="s">
        <v>383</v>
      </c>
      <c r="C159" t="s">
        <v>544</v>
      </c>
      <c r="D159" t="s">
        <v>545</v>
      </c>
      <c r="AS159">
        <v>109.118301391602</v>
      </c>
      <c r="AT159">
        <v>109.02800750732401</v>
      </c>
      <c r="AU159">
        <v>109.22003173828099</v>
      </c>
      <c r="AV159">
        <v>109.264152526855</v>
      </c>
      <c r="AW159">
        <v>108.834548950195</v>
      </c>
      <c r="AX159">
        <v>108.534042358398</v>
      </c>
      <c r="AY159">
        <v>108.129272460938</v>
      </c>
      <c r="AZ159">
        <v>108.726860046387</v>
      </c>
      <c r="BA159">
        <v>109.44638061523401</v>
      </c>
      <c r="BB159">
        <v>110.722198486328</v>
      </c>
      <c r="BC159">
        <v>110.99521636962901</v>
      </c>
      <c r="BD159">
        <v>111.05886077880901</v>
      </c>
      <c r="BE159">
        <v>111.073516845703</v>
      </c>
      <c r="BF159">
        <v>110.109268188477</v>
      </c>
      <c r="BG159">
        <v>108.57314300537099</v>
      </c>
      <c r="BH159">
        <v>106.963432312012</v>
      </c>
      <c r="BI159">
        <v>106.391220092773</v>
      </c>
      <c r="BJ159">
        <v>105.797607421875</v>
      </c>
      <c r="BK159">
        <v>105.18816375732401</v>
      </c>
      <c r="BL159">
        <v>105.09503936767599</v>
      </c>
      <c r="BM159">
        <v>104.51773071289099</v>
      </c>
      <c r="BN159">
        <v>103.358810424805</v>
      </c>
      <c r="BO159">
        <v>102.00478363037099</v>
      </c>
      <c r="BP159">
        <v>101.42075347900401</v>
      </c>
    </row>
    <row r="160" spans="1:69" x14ac:dyDescent="0.3">
      <c r="A160" t="s">
        <v>162</v>
      </c>
      <c r="B160" t="s">
        <v>380</v>
      </c>
      <c r="C160" t="s">
        <v>544</v>
      </c>
      <c r="D160" t="s">
        <v>545</v>
      </c>
      <c r="AR160">
        <v>97.494056701660199</v>
      </c>
      <c r="AU160">
        <v>117.119171142578</v>
      </c>
      <c r="AV160">
        <v>102.81308746337901</v>
      </c>
      <c r="AW160">
        <v>110.887100219727</v>
      </c>
      <c r="AX160">
        <v>105.95896148681599</v>
      </c>
      <c r="AY160">
        <v>105.283256530762</v>
      </c>
      <c r="AZ160">
        <v>101.758949279785</v>
      </c>
      <c r="BA160">
        <v>102.192817687988</v>
      </c>
      <c r="BB160">
        <v>102.752967834473</v>
      </c>
      <c r="BD160">
        <v>105.389074289953</v>
      </c>
      <c r="BH160">
        <v>106.642495754433</v>
      </c>
      <c r="BI160">
        <v>104.845524148404</v>
      </c>
      <c r="BL160">
        <v>109.175972668005</v>
      </c>
      <c r="BM160">
        <v>108.448888114364</v>
      </c>
      <c r="BN160">
        <v>111.781011494743</v>
      </c>
      <c r="BO160">
        <v>108.975506359207</v>
      </c>
      <c r="BP160">
        <v>107.109965783596</v>
      </c>
      <c r="BQ160">
        <v>101.801288405129</v>
      </c>
    </row>
    <row r="161" spans="1:69" x14ac:dyDescent="0.3">
      <c r="A161" t="s">
        <v>597</v>
      </c>
      <c r="B161" t="s">
        <v>598</v>
      </c>
      <c r="C161" t="s">
        <v>544</v>
      </c>
      <c r="D161" t="s">
        <v>545</v>
      </c>
      <c r="O161">
        <v>95.922470092773395</v>
      </c>
      <c r="P161">
        <v>78.390739440917997</v>
      </c>
      <c r="Q161">
        <v>79.084510803222699</v>
      </c>
      <c r="R161">
        <v>81.693733215332003</v>
      </c>
      <c r="S161">
        <v>82.374282836914105</v>
      </c>
      <c r="T161">
        <v>85.129928588867202</v>
      </c>
      <c r="U161">
        <v>87.260101318359403</v>
      </c>
      <c r="V161">
        <v>88.341659545898395</v>
      </c>
      <c r="W161">
        <v>87.7738037109375</v>
      </c>
      <c r="X161">
        <v>88.857566833496094</v>
      </c>
      <c r="Y161">
        <v>90.285911560058594</v>
      </c>
      <c r="Z161">
        <v>91.412590026855497</v>
      </c>
      <c r="AA161">
        <v>93.477851867675795</v>
      </c>
      <c r="AB161">
        <v>95.001777648925795</v>
      </c>
      <c r="AC161">
        <v>96.5701904296875</v>
      </c>
      <c r="AD161">
        <v>98.016906738281193</v>
      </c>
      <c r="AE161">
        <v>98.475578308105497</v>
      </c>
      <c r="AF161">
        <v>99.152687072753906</v>
      </c>
      <c r="AG161">
        <v>99.846961975097699</v>
      </c>
      <c r="AH161">
        <v>99.6761474609375</v>
      </c>
      <c r="AI161">
        <v>99.164749145507798</v>
      </c>
      <c r="AJ161">
        <v>98.758773803710895</v>
      </c>
      <c r="AK161">
        <v>98.7872314453125</v>
      </c>
      <c r="AL161">
        <v>99.405403137207003</v>
      </c>
      <c r="AM161">
        <v>100.02043914794901</v>
      </c>
      <c r="AN161">
        <v>99.170936584472699</v>
      </c>
      <c r="AO161">
        <v>99.160812377929702</v>
      </c>
      <c r="AP161">
        <v>100.389053344727</v>
      </c>
      <c r="AQ161">
        <v>99.652679443359403</v>
      </c>
      <c r="AR161">
        <v>101.63191986084</v>
      </c>
      <c r="AS161">
        <v>102.324913024902</v>
      </c>
      <c r="AT161">
        <v>102.14102935791</v>
      </c>
      <c r="AU161">
        <v>102.053298950195</v>
      </c>
      <c r="AV161">
        <v>103.629608154297</v>
      </c>
      <c r="AW161">
        <v>104.022987365723</v>
      </c>
      <c r="AX161">
        <v>103.86109161377</v>
      </c>
      <c r="AY161">
        <v>103.497032165527</v>
      </c>
      <c r="AZ161">
        <v>104.442680358887</v>
      </c>
      <c r="BA161">
        <v>104.07202911377</v>
      </c>
      <c r="BB161">
        <v>103.80280303955099</v>
      </c>
      <c r="BC161">
        <v>103.637748718262</v>
      </c>
      <c r="BD161">
        <v>103.49241638183599</v>
      </c>
      <c r="BE161">
        <v>104.069122314453</v>
      </c>
      <c r="BF161">
        <v>104.493049621582</v>
      </c>
      <c r="BG161">
        <v>102.633666992188</v>
      </c>
      <c r="BH161">
        <v>102.08184814453099</v>
      </c>
      <c r="BI161">
        <v>103.386512756348</v>
      </c>
      <c r="BJ161">
        <v>102.705619812012</v>
      </c>
      <c r="BK161">
        <v>99.025192260742202</v>
      </c>
      <c r="BL161">
        <v>98.819862365722699</v>
      </c>
      <c r="BM161">
        <v>99.327301025390597</v>
      </c>
      <c r="BN161">
        <v>99.346321105957003</v>
      </c>
      <c r="BO161">
        <v>101.193313598633</v>
      </c>
      <c r="BP161">
        <v>101.537117004395</v>
      </c>
      <c r="BQ161">
        <v>103.31121826171901</v>
      </c>
    </row>
    <row r="162" spans="1:69" x14ac:dyDescent="0.3">
      <c r="A162" t="s">
        <v>183</v>
      </c>
      <c r="B162" t="s">
        <v>401</v>
      </c>
      <c r="C162" t="s">
        <v>544</v>
      </c>
      <c r="D162" t="s">
        <v>545</v>
      </c>
      <c r="AS162">
        <v>101.57570648193401</v>
      </c>
      <c r="AT162">
        <v>101.231201171875</v>
      </c>
      <c r="AU162">
        <v>99.626533508300795</v>
      </c>
      <c r="AV162">
        <v>97.419090270996094</v>
      </c>
      <c r="AW162">
        <v>97.448638916015597</v>
      </c>
      <c r="AX162">
        <v>98.104690551757798</v>
      </c>
      <c r="AY162">
        <v>97.477798461914105</v>
      </c>
      <c r="AZ162">
        <v>97.678810119628906</v>
      </c>
      <c r="BA162">
        <v>91.801208496093807</v>
      </c>
      <c r="BB162">
        <v>91.913253784179702</v>
      </c>
      <c r="BC162">
        <v>92.333793640136705</v>
      </c>
      <c r="BE162">
        <v>92.966712951660199</v>
      </c>
      <c r="BF162">
        <v>96.978057861328097</v>
      </c>
      <c r="BG162">
        <v>95.900138854980497</v>
      </c>
      <c r="BH162">
        <v>96.885818481445298</v>
      </c>
      <c r="BJ162">
        <v>95.202407836914105</v>
      </c>
      <c r="BK162">
        <v>95.560386657714801</v>
      </c>
      <c r="BL162">
        <v>93.653846740722699</v>
      </c>
      <c r="BM162">
        <v>93.435333251953097</v>
      </c>
      <c r="BN162">
        <v>93.262458801269503</v>
      </c>
      <c r="BO162">
        <v>97.486656188964801</v>
      </c>
      <c r="BP162">
        <v>96.313171386718807</v>
      </c>
    </row>
    <row r="163" spans="1:69" x14ac:dyDescent="0.3">
      <c r="A163" t="s">
        <v>160</v>
      </c>
      <c r="B163" t="s">
        <v>378</v>
      </c>
      <c r="C163" t="s">
        <v>544</v>
      </c>
      <c r="D163" t="s">
        <v>545</v>
      </c>
      <c r="P163">
        <v>22.5666198730469</v>
      </c>
      <c r="Q163">
        <v>23.576169967651399</v>
      </c>
      <c r="R163">
        <v>23.894130706787099</v>
      </c>
      <c r="S163">
        <v>24.6113395690918</v>
      </c>
      <c r="T163">
        <v>24.4470405578613</v>
      </c>
      <c r="U163">
        <v>25.0377197265625</v>
      </c>
      <c r="V163">
        <v>25.683250427246101</v>
      </c>
      <c r="W163">
        <v>26.426559448242202</v>
      </c>
      <c r="X163">
        <v>26.8855304718018</v>
      </c>
      <c r="Y163">
        <v>26.632450103759801</v>
      </c>
      <c r="Z163">
        <v>25.217109680175799</v>
      </c>
      <c r="AA163">
        <v>24.509059906005898</v>
      </c>
      <c r="AB163">
        <v>24.145139694213899</v>
      </c>
      <c r="AC163">
        <v>23.122560501098601</v>
      </c>
      <c r="AD163">
        <v>22.480190277099599</v>
      </c>
      <c r="AE163">
        <v>21.648180007934599</v>
      </c>
      <c r="AF163">
        <v>21.427360534668001</v>
      </c>
      <c r="AG163">
        <v>21.358030319213899</v>
      </c>
      <c r="AH163">
        <v>24.585060119628899</v>
      </c>
      <c r="AI163">
        <v>24.676580429077099</v>
      </c>
      <c r="AJ163">
        <v>25.1515293121338</v>
      </c>
      <c r="AK163">
        <v>26.6993198394775</v>
      </c>
      <c r="AL163">
        <v>29.937900543212901</v>
      </c>
      <c r="AM163">
        <v>32.934978485107401</v>
      </c>
      <c r="AN163">
        <v>35.4226684570312</v>
      </c>
      <c r="AO163">
        <v>38.650341033935497</v>
      </c>
      <c r="AP163">
        <v>43.118301391601598</v>
      </c>
      <c r="AQ163">
        <v>46.852748870849602</v>
      </c>
      <c r="AR163">
        <v>50.970359802246101</v>
      </c>
      <c r="AS163">
        <v>52.935451507568402</v>
      </c>
      <c r="AT163">
        <v>57.452770233154297</v>
      </c>
      <c r="AU163">
        <v>61.1667289733887</v>
      </c>
      <c r="AV163">
        <v>63.119171142578097</v>
      </c>
      <c r="AW163">
        <v>66.446746826171903</v>
      </c>
      <c r="AX163">
        <v>69.796318054199205</v>
      </c>
      <c r="AY163">
        <v>72.469047546386705</v>
      </c>
      <c r="AZ163">
        <v>74.726676940917997</v>
      </c>
      <c r="BA163">
        <v>76.574798583984403</v>
      </c>
      <c r="BB163">
        <v>77.820877075195298</v>
      </c>
      <c r="BC163">
        <v>78.2843194478002</v>
      </c>
      <c r="BD163">
        <v>78.665643007949697</v>
      </c>
      <c r="BE163">
        <v>75.389804854162193</v>
      </c>
      <c r="BF163">
        <v>70.873428344726605</v>
      </c>
      <c r="BG163">
        <v>71.821575999876202</v>
      </c>
      <c r="BH163">
        <v>70.520974705212893</v>
      </c>
      <c r="BI163">
        <v>71.869309009481299</v>
      </c>
      <c r="BJ163">
        <v>74.673375939924796</v>
      </c>
      <c r="BK163">
        <v>70.368960490981493</v>
      </c>
      <c r="BP163">
        <v>72.7972336510107</v>
      </c>
    </row>
    <row r="164" spans="1:69" x14ac:dyDescent="0.3">
      <c r="A164" t="s">
        <v>161</v>
      </c>
      <c r="B164" t="s">
        <v>379</v>
      </c>
      <c r="C164" t="s">
        <v>544</v>
      </c>
      <c r="D164" t="s">
        <v>545</v>
      </c>
      <c r="AS164">
        <v>106.36759185791</v>
      </c>
      <c r="AT164">
        <v>105.503288269043</v>
      </c>
      <c r="AU164">
        <v>105.043991088867</v>
      </c>
      <c r="AV164">
        <v>104.11399841308599</v>
      </c>
      <c r="AW164">
        <v>105.06307983398401</v>
      </c>
      <c r="AX164">
        <v>102.89608001709</v>
      </c>
      <c r="AY164">
        <v>102.830116271973</v>
      </c>
      <c r="AZ164">
        <v>103.00437164306599</v>
      </c>
      <c r="BA164">
        <v>103.13583374023401</v>
      </c>
      <c r="BB164">
        <v>98.134666442871094</v>
      </c>
      <c r="BC164">
        <v>102.57830810546901</v>
      </c>
      <c r="BD164">
        <v>100.981498718262</v>
      </c>
      <c r="BE164">
        <v>100.937980651855</v>
      </c>
      <c r="BF164">
        <v>101.23251342773401</v>
      </c>
      <c r="BG164">
        <v>100.673332214355</v>
      </c>
      <c r="BH164">
        <v>100.30551147460901</v>
      </c>
      <c r="BI164">
        <v>99.940460205078097</v>
      </c>
      <c r="BJ164">
        <v>99.609992980957003</v>
      </c>
      <c r="BK164">
        <v>99.598327636718807</v>
      </c>
      <c r="BL164">
        <v>98.174888610839801</v>
      </c>
      <c r="BM164">
        <v>96.802490234375</v>
      </c>
      <c r="BN164">
        <v>95.413658142089801</v>
      </c>
      <c r="BO164">
        <v>93.534660339355497</v>
      </c>
      <c r="BP164">
        <v>97.707839965820298</v>
      </c>
    </row>
    <row r="165" spans="1:69" x14ac:dyDescent="0.3">
      <c r="A165" t="s">
        <v>173</v>
      </c>
      <c r="B165" t="s">
        <v>391</v>
      </c>
      <c r="C165" t="s">
        <v>544</v>
      </c>
      <c r="D165" t="s">
        <v>545</v>
      </c>
      <c r="P165">
        <v>86.525382995605497</v>
      </c>
      <c r="Q165">
        <v>85.283180236816406</v>
      </c>
      <c r="R165">
        <v>86.223602294921903</v>
      </c>
      <c r="S165">
        <v>86.102722167968807</v>
      </c>
      <c r="U165">
        <v>86.066108703613295</v>
      </c>
      <c r="V165">
        <v>86.817459106445298</v>
      </c>
      <c r="W165">
        <v>88.9854736328125</v>
      </c>
      <c r="X165">
        <v>90.645721435546903</v>
      </c>
      <c r="Y165">
        <v>92.475448608398395</v>
      </c>
      <c r="Z165">
        <v>95.466812133789105</v>
      </c>
      <c r="AA165">
        <v>100.224449157715</v>
      </c>
      <c r="AB165">
        <v>102.06941986084</v>
      </c>
      <c r="AC165">
        <v>103.08966827392599</v>
      </c>
      <c r="AD165">
        <v>101.28205108642599</v>
      </c>
      <c r="AE165">
        <v>102.095573425293</v>
      </c>
      <c r="AF165">
        <v>107.29541015625</v>
      </c>
      <c r="AG165">
        <v>106.517227172852</v>
      </c>
      <c r="AH165">
        <v>108.021347045898</v>
      </c>
      <c r="AI165">
        <v>99.123939514160199</v>
      </c>
      <c r="AJ165">
        <v>108.85256195068401</v>
      </c>
      <c r="AK165">
        <v>118.075790405273</v>
      </c>
      <c r="AL165">
        <v>119.59336090087901</v>
      </c>
      <c r="AM165">
        <v>120.619300842285</v>
      </c>
      <c r="AN165">
        <v>114.59055328369099</v>
      </c>
      <c r="AO165">
        <v>113.299156188965</v>
      </c>
      <c r="AP165">
        <v>107.96102905273401</v>
      </c>
      <c r="AR165">
        <v>99.006446838378906</v>
      </c>
      <c r="AS165">
        <v>101.413139343262</v>
      </c>
      <c r="AT165">
        <v>99.762649536132798</v>
      </c>
      <c r="AU165">
        <v>99.829330444335895</v>
      </c>
      <c r="AV165">
        <v>102.38102722168</v>
      </c>
      <c r="AW165">
        <v>103.697303771973</v>
      </c>
      <c r="AX165">
        <v>104.437133789062</v>
      </c>
      <c r="AY165">
        <v>105.16950225830099</v>
      </c>
      <c r="AZ165">
        <v>106.16953277587901</v>
      </c>
      <c r="BA165">
        <v>108.06227874755901</v>
      </c>
      <c r="BB165">
        <v>108.319793701172</v>
      </c>
      <c r="BC165">
        <v>109.49014282226599</v>
      </c>
      <c r="BG165">
        <v>115.44846343994099</v>
      </c>
      <c r="BI165">
        <v>119.916152954102</v>
      </c>
      <c r="BJ165">
        <v>121.799392700195</v>
      </c>
      <c r="BK165">
        <v>120.214569091797</v>
      </c>
    </row>
    <row r="166" spans="1:69" x14ac:dyDescent="0.3">
      <c r="A166" t="s">
        <v>599</v>
      </c>
      <c r="B166" t="s">
        <v>600</v>
      </c>
      <c r="C166" t="s">
        <v>544</v>
      </c>
      <c r="D166" t="s">
        <v>545</v>
      </c>
    </row>
    <row r="167" spans="1:69" x14ac:dyDescent="0.3">
      <c r="A167" t="s">
        <v>170</v>
      </c>
      <c r="B167" t="s">
        <v>388</v>
      </c>
      <c r="C167" t="s">
        <v>544</v>
      </c>
      <c r="D167" t="s">
        <v>545</v>
      </c>
      <c r="AV167">
        <v>105.827690124512</v>
      </c>
      <c r="AW167">
        <v>104.63258361816401</v>
      </c>
      <c r="AX167">
        <v>108.755180358887</v>
      </c>
      <c r="AY167">
        <v>112.49855041503901</v>
      </c>
      <c r="AZ167">
        <v>116.795532226562</v>
      </c>
      <c r="BA167">
        <v>120.292976379395</v>
      </c>
      <c r="BB167">
        <v>113.767211914062</v>
      </c>
      <c r="BC167">
        <v>108.25479888916</v>
      </c>
      <c r="BD167">
        <v>98.029228210449205</v>
      </c>
      <c r="BE167">
        <v>99.070297241210895</v>
      </c>
      <c r="BH167">
        <v>101.203620910645</v>
      </c>
      <c r="BI167">
        <v>100.174591064453</v>
      </c>
      <c r="BJ167">
        <v>100.943252563477</v>
      </c>
      <c r="BK167">
        <v>103.26447296142599</v>
      </c>
      <c r="BL167">
        <v>103.651741027832</v>
      </c>
      <c r="BM167">
        <v>103.846572875977</v>
      </c>
      <c r="BN167">
        <v>104.39967346191401</v>
      </c>
      <c r="BO167">
        <v>105.621368408203</v>
      </c>
      <c r="BP167">
        <v>106.109619140625</v>
      </c>
    </row>
    <row r="168" spans="1:69" x14ac:dyDescent="0.3">
      <c r="A168" t="s">
        <v>169</v>
      </c>
      <c r="B168" t="s">
        <v>387</v>
      </c>
      <c r="C168" t="s">
        <v>544</v>
      </c>
      <c r="D168" t="s">
        <v>545</v>
      </c>
      <c r="P168">
        <v>94.498268127441406</v>
      </c>
      <c r="Q168">
        <v>95.704048156738295</v>
      </c>
      <c r="R168">
        <v>100.19766998291</v>
      </c>
      <c r="S168">
        <v>100.951530456543</v>
      </c>
      <c r="T168">
        <v>101.419227600098</v>
      </c>
      <c r="U168">
        <v>102.40708160400401</v>
      </c>
      <c r="W168">
        <v>103.993782043457</v>
      </c>
      <c r="X168">
        <v>101.70964813232401</v>
      </c>
      <c r="Y168">
        <v>101.18727111816401</v>
      </c>
      <c r="Z168">
        <v>101.680671691895</v>
      </c>
      <c r="AA168">
        <v>100.425010681152</v>
      </c>
      <c r="AB168">
        <v>100.747718811035</v>
      </c>
      <c r="AC168">
        <v>100.412300109863</v>
      </c>
      <c r="AD168">
        <v>99.202247619628906</v>
      </c>
      <c r="AE168">
        <v>97.410453796386705</v>
      </c>
      <c r="AF168">
        <v>98.168869018554702</v>
      </c>
      <c r="AG168">
        <v>98.322662353515597</v>
      </c>
      <c r="AH168">
        <v>100.273918151855</v>
      </c>
      <c r="AI168">
        <v>101.12558746337901</v>
      </c>
      <c r="AJ168">
        <v>100.39349365234401</v>
      </c>
      <c r="AK168">
        <v>91.364608764648395</v>
      </c>
      <c r="AL168">
        <v>79.439239501953097</v>
      </c>
      <c r="AM168">
        <v>78.581100463867202</v>
      </c>
      <c r="AN168">
        <v>84.455940246582003</v>
      </c>
      <c r="AO168">
        <v>90.401428222656193</v>
      </c>
      <c r="AP168">
        <v>89.734283447265597</v>
      </c>
      <c r="AQ168">
        <v>93.098289489746094</v>
      </c>
      <c r="AR168">
        <v>96.627876281738295</v>
      </c>
      <c r="AS168">
        <v>99.792098999023395</v>
      </c>
      <c r="AT168">
        <v>102.232551574707</v>
      </c>
      <c r="AU168">
        <v>102.581352233887</v>
      </c>
      <c r="AV168">
        <v>105.64858245849599</v>
      </c>
      <c r="AW168">
        <v>108.216423034668</v>
      </c>
      <c r="AX168">
        <v>96.107200622558594</v>
      </c>
      <c r="AY168">
        <v>98.070968627929702</v>
      </c>
      <c r="AZ168">
        <v>96.4715576171875</v>
      </c>
      <c r="BA168">
        <v>98.894538879394503</v>
      </c>
      <c r="BB168">
        <v>109.426750183105</v>
      </c>
      <c r="BC168">
        <v>121.84010314941401</v>
      </c>
      <c r="BD168">
        <v>120.545547485352</v>
      </c>
      <c r="BE168">
        <v>115.839420097405</v>
      </c>
      <c r="BF168">
        <v>107.68217979216899</v>
      </c>
      <c r="BG168">
        <v>99.847321834962798</v>
      </c>
      <c r="BH168">
        <v>97.813982417610603</v>
      </c>
      <c r="BI168">
        <v>97.286381867405893</v>
      </c>
      <c r="BJ168">
        <v>94.451559596686096</v>
      </c>
      <c r="BK168">
        <v>95.085682296022995</v>
      </c>
      <c r="BL168">
        <v>94.133479056719594</v>
      </c>
      <c r="BM168">
        <v>92.346460158066193</v>
      </c>
      <c r="BN168">
        <v>92.024228960724997</v>
      </c>
      <c r="BO168">
        <v>93.347384837329798</v>
      </c>
      <c r="BP168">
        <v>93.065441111422203</v>
      </c>
      <c r="BQ168">
        <v>92.340078942355206</v>
      </c>
    </row>
    <row r="169" spans="1:69" x14ac:dyDescent="0.3">
      <c r="A169" t="s">
        <v>184</v>
      </c>
      <c r="B169" t="s">
        <v>402</v>
      </c>
      <c r="C169" t="s">
        <v>544</v>
      </c>
      <c r="D169" t="s">
        <v>545</v>
      </c>
    </row>
    <row r="170" spans="1:69" x14ac:dyDescent="0.3">
      <c r="A170" t="s">
        <v>172</v>
      </c>
      <c r="B170" t="s">
        <v>390</v>
      </c>
      <c r="C170" t="s">
        <v>544</v>
      </c>
      <c r="D170" t="s">
        <v>545</v>
      </c>
      <c r="P170">
        <v>43.619438171386697</v>
      </c>
      <c r="Q170">
        <v>38.315238952636697</v>
      </c>
      <c r="R170">
        <v>47.684761047363303</v>
      </c>
      <c r="T170">
        <v>63.098178863525398</v>
      </c>
      <c r="V170">
        <v>110.277061462402</v>
      </c>
      <c r="W170">
        <v>112.99846649169901</v>
      </c>
      <c r="X170">
        <v>113.605598449707</v>
      </c>
      <c r="Z170">
        <v>104.69287109375</v>
      </c>
      <c r="AA170">
        <v>95.434799194335895</v>
      </c>
      <c r="AB170">
        <v>87.405548095703097</v>
      </c>
      <c r="AC170">
        <v>91.881263732910199</v>
      </c>
      <c r="AD170">
        <v>91.463211059570298</v>
      </c>
      <c r="AE170">
        <v>90.329353332519503</v>
      </c>
      <c r="AF170">
        <v>72.972221374511705</v>
      </c>
      <c r="AG170">
        <v>67.723312377929702</v>
      </c>
      <c r="AH170">
        <v>67.479179382324205</v>
      </c>
      <c r="AI170">
        <v>69.084007263183594</v>
      </c>
      <c r="AJ170">
        <v>65.700469970703097</v>
      </c>
      <c r="AK170">
        <v>63.6998901367188</v>
      </c>
      <c r="AL170">
        <v>64.447341918945298</v>
      </c>
      <c r="AM170">
        <v>65.380470275878906</v>
      </c>
      <c r="AN170">
        <v>65.113731384277301</v>
      </c>
      <c r="AQ170">
        <v>62.593540191650398</v>
      </c>
      <c r="AR170">
        <v>67.8009033203125</v>
      </c>
      <c r="AS170">
        <v>73.229919433593807</v>
      </c>
      <c r="AT170">
        <v>79.612472534179702</v>
      </c>
      <c r="AU170">
        <v>83.047798156738295</v>
      </c>
      <c r="AW170">
        <v>93.076393127441406</v>
      </c>
      <c r="AX170">
        <v>100.05800628662099</v>
      </c>
      <c r="AY170">
        <v>102.737716674805</v>
      </c>
      <c r="AZ170">
        <v>109.321502685547</v>
      </c>
      <c r="BA170">
        <v>114.194580078125</v>
      </c>
      <c r="BB170">
        <v>115.103843688965</v>
      </c>
      <c r="BC170">
        <v>116.867207366317</v>
      </c>
      <c r="BD170">
        <v>113.599054478212</v>
      </c>
      <c r="BE170">
        <v>113.200785284243</v>
      </c>
      <c r="BF170">
        <v>114.118825775581</v>
      </c>
      <c r="BG170">
        <v>114.277516463599</v>
      </c>
      <c r="BH170">
        <v>114.82837357539</v>
      </c>
      <c r="BI170">
        <v>113.68787641556101</v>
      </c>
      <c r="BJ170">
        <v>111.566194762496</v>
      </c>
      <c r="BK170">
        <v>115.270990181058</v>
      </c>
      <c r="BL170">
        <v>117.86067127577</v>
      </c>
      <c r="BM170">
        <v>118.980061431837</v>
      </c>
      <c r="BO170">
        <v>119.16222522339299</v>
      </c>
    </row>
    <row r="171" spans="1:69" x14ac:dyDescent="0.3">
      <c r="A171" t="s">
        <v>163</v>
      </c>
      <c r="B171" t="s">
        <v>381</v>
      </c>
      <c r="C171" t="s">
        <v>544</v>
      </c>
      <c r="D171" t="s">
        <v>545</v>
      </c>
      <c r="P171">
        <v>15.4851799011231</v>
      </c>
      <c r="Q171">
        <v>16.2310905456543</v>
      </c>
      <c r="R171">
        <v>17.941789627075199</v>
      </c>
      <c r="S171">
        <v>18.029670715331999</v>
      </c>
      <c r="T171">
        <v>18.421049118041999</v>
      </c>
      <c r="U171">
        <v>19.9889106750488</v>
      </c>
      <c r="V171">
        <v>24.694999694824201</v>
      </c>
      <c r="W171">
        <v>26.965669631958001</v>
      </c>
      <c r="X171">
        <v>29.5295104980469</v>
      </c>
      <c r="Y171">
        <v>34.042148590087898</v>
      </c>
      <c r="Z171">
        <v>35.2156791687012</v>
      </c>
      <c r="AA171">
        <v>38.620231628417997</v>
      </c>
      <c r="AB171">
        <v>39.600559234619098</v>
      </c>
      <c r="AC171">
        <v>42.805641174316399</v>
      </c>
      <c r="AD171">
        <v>44.237781524658203</v>
      </c>
      <c r="AE171">
        <v>47.773288726806598</v>
      </c>
      <c r="AF171">
        <v>49.632869720458999</v>
      </c>
      <c r="AG171">
        <v>50.329151153564503</v>
      </c>
      <c r="AH171">
        <v>49.340061187744098</v>
      </c>
      <c r="AI171">
        <v>46.903079986572301</v>
      </c>
      <c r="AJ171">
        <v>49.172420501708999</v>
      </c>
      <c r="AK171">
        <v>53.929458618164098</v>
      </c>
      <c r="AL171">
        <v>60.921920776367202</v>
      </c>
      <c r="AM171">
        <v>67.151069641113295</v>
      </c>
      <c r="AN171">
        <v>71.007293701171903</v>
      </c>
      <c r="AO171">
        <v>74.576629638671903</v>
      </c>
      <c r="AP171">
        <v>78.512619018554702</v>
      </c>
      <c r="AQ171">
        <v>80.773536682128906</v>
      </c>
      <c r="AR171">
        <v>82.449913024902301</v>
      </c>
      <c r="AS171">
        <v>81.995887756347699</v>
      </c>
      <c r="AT171">
        <v>80.317329406738295</v>
      </c>
      <c r="AU171">
        <v>81.038436889648395</v>
      </c>
      <c r="AV171">
        <v>82.680702209472699</v>
      </c>
      <c r="AW171">
        <v>88.961128234863295</v>
      </c>
      <c r="AX171">
        <v>89.075920104980497</v>
      </c>
      <c r="AY171">
        <v>92.250457763671903</v>
      </c>
      <c r="AZ171">
        <v>94.508728027343807</v>
      </c>
      <c r="BA171">
        <v>91.183280944824205</v>
      </c>
      <c r="BB171">
        <v>97.033561706542997</v>
      </c>
      <c r="BC171">
        <v>97.857165218896597</v>
      </c>
      <c r="BD171">
        <v>95.435962450677295</v>
      </c>
      <c r="BE171">
        <v>94.901795403232896</v>
      </c>
      <c r="BF171">
        <v>93.637705703155504</v>
      </c>
      <c r="BG171">
        <v>93.902696189185093</v>
      </c>
      <c r="BH171">
        <v>96.699365333097006</v>
      </c>
      <c r="BI171">
        <v>88.664192649012406</v>
      </c>
      <c r="BJ171">
        <v>87.817309486138399</v>
      </c>
      <c r="BK171">
        <v>90.219303922081593</v>
      </c>
      <c r="BL171">
        <v>90.267194135133394</v>
      </c>
      <c r="BM171">
        <v>93.804466478078595</v>
      </c>
      <c r="BP171">
        <v>104.015072968957</v>
      </c>
      <c r="BQ171">
        <v>105.434763333022</v>
      </c>
    </row>
    <row r="172" spans="1:69" x14ac:dyDescent="0.3">
      <c r="A172" t="s">
        <v>164</v>
      </c>
      <c r="B172" t="s">
        <v>382</v>
      </c>
      <c r="C172" t="s">
        <v>544</v>
      </c>
      <c r="D172" t="s">
        <v>545</v>
      </c>
      <c r="AT172">
        <v>102.97516632080099</v>
      </c>
      <c r="AU172">
        <v>102.728149414062</v>
      </c>
      <c r="AV172">
        <v>102.18536376953099</v>
      </c>
      <c r="AW172">
        <v>101.855949401855</v>
      </c>
      <c r="AX172">
        <v>102.094566345215</v>
      </c>
      <c r="AY172">
        <v>101.59693145752</v>
      </c>
      <c r="AZ172">
        <v>100.83757019043</v>
      </c>
      <c r="BA172">
        <v>101.19455718994099</v>
      </c>
      <c r="BB172">
        <v>100.478866577148</v>
      </c>
      <c r="BC172">
        <v>100.593631948192</v>
      </c>
      <c r="BD172">
        <v>100.025853822488</v>
      </c>
      <c r="BE172">
        <v>99.366900435474605</v>
      </c>
      <c r="BF172">
        <v>97.840116488099497</v>
      </c>
      <c r="BG172">
        <v>97.151872457029</v>
      </c>
      <c r="BH172">
        <v>97.118671658798604</v>
      </c>
      <c r="BI172">
        <v>96.721604803276406</v>
      </c>
      <c r="BJ172">
        <v>96.478632123922296</v>
      </c>
      <c r="BK172">
        <v>96.449398549633102</v>
      </c>
      <c r="BL172">
        <v>95.423076066872994</v>
      </c>
      <c r="BM172">
        <v>95.006390254573901</v>
      </c>
      <c r="BN172">
        <v>99.886019590382901</v>
      </c>
      <c r="BP172">
        <v>110.911583276217</v>
      </c>
      <c r="BQ172">
        <v>107.347861424363</v>
      </c>
    </row>
    <row r="173" spans="1:69" x14ac:dyDescent="0.3">
      <c r="A173" t="s">
        <v>157</v>
      </c>
      <c r="B173" t="s">
        <v>375</v>
      </c>
      <c r="C173" t="s">
        <v>544</v>
      </c>
      <c r="D173" t="s">
        <v>545</v>
      </c>
      <c r="P173">
        <v>42.467849731445298</v>
      </c>
      <c r="Q173">
        <v>49.600898742675803</v>
      </c>
      <c r="R173">
        <v>53.971031188964801</v>
      </c>
      <c r="S173">
        <v>59.391628265380902</v>
      </c>
      <c r="T173">
        <v>65.155403137207003</v>
      </c>
      <c r="U173">
        <v>66.0673828125</v>
      </c>
      <c r="V173">
        <v>65.247619628906193</v>
      </c>
      <c r="W173">
        <v>63.489139556884801</v>
      </c>
      <c r="X173">
        <v>63.865119934082003</v>
      </c>
      <c r="Y173">
        <v>67.051292419433594</v>
      </c>
      <c r="Z173">
        <v>66.871467590332003</v>
      </c>
      <c r="AA173">
        <v>70.185943603515597</v>
      </c>
      <c r="AB173">
        <v>65.833106994628906</v>
      </c>
      <c r="AC173">
        <v>60.7099609375</v>
      </c>
      <c r="AD173">
        <v>62.3097114562988</v>
      </c>
      <c r="AE173">
        <v>62.653579711914098</v>
      </c>
      <c r="AF173">
        <v>65.121963500976605</v>
      </c>
      <c r="AG173">
        <v>64.458076477050795</v>
      </c>
      <c r="AH173">
        <v>69.597061157226605</v>
      </c>
      <c r="AI173">
        <v>72.982772827148395</v>
      </c>
      <c r="AJ173">
        <v>74.35888671875</v>
      </c>
      <c r="AK173">
        <v>87.850387573242202</v>
      </c>
      <c r="AL173">
        <v>91.835388183593807</v>
      </c>
      <c r="AM173">
        <v>99.848869323730497</v>
      </c>
      <c r="AN173">
        <v>152.616287231445</v>
      </c>
      <c r="AO173">
        <v>149.75465393066401</v>
      </c>
      <c r="AQ173">
        <v>137.81407165527301</v>
      </c>
      <c r="AR173">
        <v>136.82379150390599</v>
      </c>
      <c r="AS173">
        <v>139.18203735351599</v>
      </c>
      <c r="AT173">
        <v>143.611740112305</v>
      </c>
      <c r="AU173">
        <v>140.27284240722699</v>
      </c>
      <c r="AW173">
        <v>133.78977966308599</v>
      </c>
      <c r="AX173">
        <v>131.80310058593801</v>
      </c>
      <c r="AY173">
        <v>131.49432373046901</v>
      </c>
      <c r="AZ173">
        <v>128.68232727050801</v>
      </c>
      <c r="BA173">
        <v>136.033767700195</v>
      </c>
      <c r="BB173">
        <v>133.76307678222699</v>
      </c>
      <c r="BC173">
        <v>135.95337949713101</v>
      </c>
      <c r="BD173">
        <v>136.57011487539501</v>
      </c>
      <c r="BE173">
        <v>136.60395013745099</v>
      </c>
      <c r="BF173">
        <v>140.88915082399001</v>
      </c>
      <c r="BG173">
        <v>140.73455449898299</v>
      </c>
      <c r="BH173">
        <v>139.54759319099699</v>
      </c>
      <c r="BI173">
        <v>137.82302692013101</v>
      </c>
      <c r="BJ173">
        <v>139.233233518644</v>
      </c>
      <c r="BK173">
        <v>136.723876953125</v>
      </c>
      <c r="BL173">
        <v>139.274520404398</v>
      </c>
      <c r="BM173">
        <v>136.43618677974999</v>
      </c>
      <c r="BN173">
        <v>127.042360318779</v>
      </c>
      <c r="BO173">
        <v>126.58775896295499</v>
      </c>
      <c r="BP173">
        <v>135.97444078182201</v>
      </c>
      <c r="BQ173">
        <v>139.016258677384</v>
      </c>
    </row>
    <row r="174" spans="1:69" x14ac:dyDescent="0.3">
      <c r="A174" t="s">
        <v>158</v>
      </c>
      <c r="B174" t="s">
        <v>376</v>
      </c>
      <c r="C174" t="s">
        <v>544</v>
      </c>
      <c r="D174" t="s">
        <v>545</v>
      </c>
      <c r="O174">
        <v>93.007926940917997</v>
      </c>
      <c r="T174">
        <v>101.39589691162099</v>
      </c>
      <c r="V174">
        <v>102.74916839599599</v>
      </c>
      <c r="W174">
        <v>104.06329345703099</v>
      </c>
      <c r="X174">
        <v>103.89434814453099</v>
      </c>
      <c r="Y174">
        <v>103.394828796387</v>
      </c>
      <c r="Z174">
        <v>102.12558746337901</v>
      </c>
      <c r="AA174">
        <v>101.49729156494099</v>
      </c>
      <c r="AB174">
        <v>101.26970672607401</v>
      </c>
      <c r="AC174">
        <v>100.01480102539099</v>
      </c>
      <c r="AD174">
        <v>99.710632324218807</v>
      </c>
      <c r="AF174">
        <v>97.675872802734403</v>
      </c>
      <c r="AG174">
        <v>97.409042358398395</v>
      </c>
      <c r="AH174">
        <v>96.802803039550795</v>
      </c>
      <c r="AI174">
        <v>95.935211181640597</v>
      </c>
      <c r="AJ174">
        <v>95.6888427734375</v>
      </c>
      <c r="AK174">
        <v>95.689399719238295</v>
      </c>
      <c r="AL174">
        <v>95.981651306152301</v>
      </c>
      <c r="AM174">
        <v>96.081306457519503</v>
      </c>
      <c r="AN174">
        <v>96.552223205566406</v>
      </c>
      <c r="AO174">
        <v>97.254051208496094</v>
      </c>
      <c r="AQ174">
        <v>96.3125</v>
      </c>
      <c r="AR174">
        <v>95.683433532714801</v>
      </c>
      <c r="AS174">
        <v>97.456291198730497</v>
      </c>
      <c r="AT174">
        <v>95.406311035156193</v>
      </c>
      <c r="AU174">
        <v>92.926628112792997</v>
      </c>
      <c r="AV174">
        <v>93.396469116210895</v>
      </c>
      <c r="AW174">
        <v>96.018203735351605</v>
      </c>
      <c r="AX174">
        <v>97.133361816406193</v>
      </c>
      <c r="AY174">
        <v>97.836738586425795</v>
      </c>
      <c r="AZ174">
        <v>98.362640380859403</v>
      </c>
      <c r="BA174">
        <v>98.699050903320298</v>
      </c>
      <c r="BB174">
        <v>98.794090270996094</v>
      </c>
      <c r="BC174">
        <v>98.869781494140597</v>
      </c>
      <c r="BD174">
        <v>98.855643801119001</v>
      </c>
      <c r="BE174">
        <v>98.7042528833624</v>
      </c>
      <c r="BF174">
        <v>98.906684884522406</v>
      </c>
      <c r="BG174">
        <v>97.15563448844</v>
      </c>
      <c r="BH174">
        <v>95.631153551347396</v>
      </c>
      <c r="BI174">
        <v>96.221969712954504</v>
      </c>
      <c r="BJ174">
        <v>96.257460457934698</v>
      </c>
      <c r="BK174">
        <v>95.776154478343102</v>
      </c>
      <c r="BL174">
        <v>94.327505420217605</v>
      </c>
      <c r="BM174">
        <v>93.180012935104699</v>
      </c>
      <c r="BN174">
        <v>92.576988192700398</v>
      </c>
      <c r="BO174">
        <v>89.787263097895803</v>
      </c>
      <c r="BP174">
        <v>91.502110668507598</v>
      </c>
      <c r="BQ174">
        <v>90.359558696531707</v>
      </c>
    </row>
    <row r="175" spans="1:69" x14ac:dyDescent="0.3">
      <c r="A175" t="s">
        <v>21</v>
      </c>
      <c r="B175" t="s">
        <v>601</v>
      </c>
      <c r="C175" t="s">
        <v>544</v>
      </c>
      <c r="D175" t="s">
        <v>545</v>
      </c>
      <c r="AR175">
        <v>100.381782531738</v>
      </c>
      <c r="AS175">
        <v>100.61228942871099</v>
      </c>
      <c r="AT175">
        <v>100.225708007812</v>
      </c>
      <c r="AU175">
        <v>99.839248657226605</v>
      </c>
      <c r="AV175">
        <v>100.462753295898</v>
      </c>
      <c r="AW175">
        <v>101.086837768555</v>
      </c>
      <c r="AX175">
        <v>101.58113861084</v>
      </c>
      <c r="AY175">
        <v>101.98536682128901</v>
      </c>
      <c r="AZ175">
        <v>102.44052886962901</v>
      </c>
      <c r="BA175">
        <v>102.83982086181599</v>
      </c>
      <c r="BB175">
        <v>101.993896484375</v>
      </c>
      <c r="BC175">
        <v>101.326446533203</v>
      </c>
      <c r="BD175">
        <v>100.64877319335901</v>
      </c>
      <c r="BE175">
        <v>100.091178894043</v>
      </c>
      <c r="BF175">
        <v>99.449760437011705</v>
      </c>
      <c r="BG175">
        <v>99.661071777343807</v>
      </c>
      <c r="BH175">
        <v>100.262733459473</v>
      </c>
      <c r="BI175">
        <v>101.118087768555</v>
      </c>
      <c r="BJ175">
        <v>101.538818359375</v>
      </c>
      <c r="BK175">
        <v>101.022567749023</v>
      </c>
      <c r="BL175">
        <v>100.633087158203</v>
      </c>
      <c r="BM175">
        <v>99.988906860351605</v>
      </c>
      <c r="BN175">
        <v>98.017761230468807</v>
      </c>
      <c r="BO175">
        <v>96.761817932128906</v>
      </c>
      <c r="BP175">
        <v>97.042541503906193</v>
      </c>
      <c r="BQ175">
        <v>96.780181884765597</v>
      </c>
    </row>
    <row r="176" spans="1:69" x14ac:dyDescent="0.3">
      <c r="A176" t="s">
        <v>174</v>
      </c>
      <c r="B176" t="s">
        <v>392</v>
      </c>
      <c r="C176" t="s">
        <v>544</v>
      </c>
      <c r="D176" t="s">
        <v>545</v>
      </c>
      <c r="AE176">
        <v>129.14489746093801</v>
      </c>
      <c r="AF176">
        <v>132.490966796875</v>
      </c>
      <c r="AG176">
        <v>131.34780883789099</v>
      </c>
      <c r="AH176">
        <v>127.751426696777</v>
      </c>
      <c r="AI176">
        <v>128.27941894531199</v>
      </c>
      <c r="AJ176">
        <v>138.336013793945</v>
      </c>
      <c r="AK176">
        <v>139.70814514160199</v>
      </c>
      <c r="AL176">
        <v>138.52035522460901</v>
      </c>
      <c r="AM176">
        <v>139.91833496093801</v>
      </c>
      <c r="AN176">
        <v>135.47984313964801</v>
      </c>
      <c r="AO176">
        <v>132.15507507324199</v>
      </c>
      <c r="AP176">
        <v>128.63706970214801</v>
      </c>
      <c r="AQ176">
        <v>123.85930633544901</v>
      </c>
      <c r="AR176">
        <v>116.87606048584</v>
      </c>
      <c r="AS176">
        <v>113.866256713867</v>
      </c>
      <c r="AT176">
        <v>112.325736999512</v>
      </c>
      <c r="AU176">
        <v>111.884033203125</v>
      </c>
      <c r="AV176">
        <v>112.014106750488</v>
      </c>
      <c r="AW176">
        <v>110.67636108398401</v>
      </c>
      <c r="AX176">
        <v>112.362739562988</v>
      </c>
      <c r="AY176">
        <v>113.178672790527</v>
      </c>
      <c r="AZ176">
        <v>116.05362701416</v>
      </c>
      <c r="BA176">
        <v>116.289268493652</v>
      </c>
      <c r="BB176">
        <v>116.96800994873</v>
      </c>
      <c r="BC176">
        <v>118.10913634153501</v>
      </c>
      <c r="BD176">
        <v>119.055637083219</v>
      </c>
      <c r="BE176">
        <v>121.103692738221</v>
      </c>
      <c r="BF176">
        <v>122.73281353237201</v>
      </c>
      <c r="BG176">
        <v>122.71193654589</v>
      </c>
      <c r="BH176">
        <v>124.629282782131</v>
      </c>
      <c r="BI176">
        <v>124.182705227995</v>
      </c>
      <c r="BJ176">
        <v>125.87493234498</v>
      </c>
      <c r="BK176">
        <v>124.59168074916801</v>
      </c>
      <c r="BL176">
        <v>124.15534593254201</v>
      </c>
      <c r="BM176">
        <v>122.345254349927</v>
      </c>
      <c r="BN176">
        <v>121.824196673464</v>
      </c>
      <c r="BO176">
        <v>120.341925617623</v>
      </c>
      <c r="BP176">
        <v>119.460955801452</v>
      </c>
      <c r="BQ176">
        <v>120.719328687086</v>
      </c>
    </row>
    <row r="177" spans="1:70" x14ac:dyDescent="0.3">
      <c r="A177" t="s">
        <v>178</v>
      </c>
      <c r="B177" t="s">
        <v>396</v>
      </c>
      <c r="C177" t="s">
        <v>544</v>
      </c>
      <c r="D177" t="s">
        <v>545</v>
      </c>
      <c r="AA177">
        <v>134.72053527832</v>
      </c>
      <c r="AB177">
        <v>124.25121307373</v>
      </c>
      <c r="AC177">
        <v>123.801803588867</v>
      </c>
      <c r="AD177">
        <v>114.70124053955099</v>
      </c>
      <c r="AE177">
        <v>114.340812683105</v>
      </c>
      <c r="AF177">
        <v>116.68405914306599</v>
      </c>
      <c r="AG177">
        <v>121.15322875976599</v>
      </c>
      <c r="AH177">
        <v>124.686279296875</v>
      </c>
      <c r="AI177">
        <v>120.622077941895</v>
      </c>
      <c r="AJ177">
        <v>117.63620758056599</v>
      </c>
      <c r="AK177">
        <v>115.76132965087901</v>
      </c>
      <c r="AL177">
        <v>116.34523773193401</v>
      </c>
      <c r="AM177">
        <v>116.01226806640599</v>
      </c>
    </row>
    <row r="178" spans="1:70" x14ac:dyDescent="0.3">
      <c r="A178" t="s">
        <v>181</v>
      </c>
      <c r="B178" t="s">
        <v>399</v>
      </c>
      <c r="C178" t="s">
        <v>544</v>
      </c>
      <c r="D178" t="s">
        <v>545</v>
      </c>
      <c r="P178">
        <v>11.250459671020501</v>
      </c>
      <c r="Q178">
        <v>11.7060298919678</v>
      </c>
      <c r="R178">
        <v>12.2013502120972</v>
      </c>
      <c r="S178">
        <v>13.050900459289601</v>
      </c>
      <c r="T178">
        <v>13.9792804718018</v>
      </c>
      <c r="U178">
        <v>16.0718803405762</v>
      </c>
      <c r="V178">
        <v>17.641580581665</v>
      </c>
      <c r="W178">
        <v>19.0750007629394</v>
      </c>
      <c r="X178">
        <v>19.778110504150401</v>
      </c>
      <c r="Y178">
        <v>21.628829956054702</v>
      </c>
      <c r="Z178">
        <v>22.983869552612301</v>
      </c>
      <c r="AA178">
        <v>23.074949264526399</v>
      </c>
      <c r="AB178">
        <v>22.958030700683601</v>
      </c>
      <c r="AC178">
        <v>23.0083408355713</v>
      </c>
      <c r="AD178">
        <v>22.4281501770019</v>
      </c>
      <c r="AE178">
        <v>23.8008003234863</v>
      </c>
      <c r="AF178">
        <v>24.465980529785199</v>
      </c>
      <c r="AG178">
        <v>24.235109329223601</v>
      </c>
      <c r="AH178">
        <v>25.279859542846701</v>
      </c>
      <c r="AI178">
        <v>25.960199356079102</v>
      </c>
      <c r="AJ178">
        <v>26.910579681396499</v>
      </c>
      <c r="AK178">
        <v>26.2263698577881</v>
      </c>
      <c r="AL178">
        <v>26.585369110107401</v>
      </c>
      <c r="AM178">
        <v>27.5306396484375</v>
      </c>
      <c r="AN178">
        <v>27.810390472412099</v>
      </c>
      <c r="AO178">
        <v>27.8950595855713</v>
      </c>
      <c r="AP178">
        <v>28.5335292816162</v>
      </c>
      <c r="AQ178">
        <v>28.690280914306602</v>
      </c>
      <c r="AR178">
        <v>30.475610733032202</v>
      </c>
      <c r="AS178">
        <v>32.144001007080099</v>
      </c>
      <c r="AT178">
        <v>35.0507202148438</v>
      </c>
      <c r="AU178">
        <v>39.005630493164098</v>
      </c>
      <c r="AV178">
        <v>42.1091117858887</v>
      </c>
      <c r="AW178">
        <v>46.041828155517599</v>
      </c>
      <c r="AX178">
        <v>47.768680572509801</v>
      </c>
      <c r="AY178">
        <v>48.2523002624512</v>
      </c>
      <c r="AZ178">
        <v>50.502998352050803</v>
      </c>
      <c r="BA178">
        <v>54.227298736572301</v>
      </c>
      <c r="BB178">
        <v>57.965888977050803</v>
      </c>
      <c r="BC178">
        <v>61.598611361361797</v>
      </c>
      <c r="BD178">
        <v>65.253510060465302</v>
      </c>
      <c r="BE178">
        <v>67.154895777832294</v>
      </c>
      <c r="BF178">
        <v>68.050738334559</v>
      </c>
      <c r="BG178">
        <v>68.692249793729104</v>
      </c>
      <c r="BH178">
        <v>70.893142385097704</v>
      </c>
      <c r="BI178">
        <v>72.847684336148802</v>
      </c>
      <c r="BJ178">
        <v>74.378771928976107</v>
      </c>
      <c r="BL178">
        <v>66.772731916325597</v>
      </c>
      <c r="BN178">
        <v>65.864245185740998</v>
      </c>
      <c r="BO178">
        <v>66.253971911859907</v>
      </c>
      <c r="BP178">
        <v>66.880477993327204</v>
      </c>
      <c r="BQ178">
        <v>64.6534815281519</v>
      </c>
    </row>
    <row r="179" spans="1:70" x14ac:dyDescent="0.3">
      <c r="A179" t="s">
        <v>182</v>
      </c>
      <c r="B179" t="s">
        <v>400</v>
      </c>
      <c r="C179" t="s">
        <v>544</v>
      </c>
      <c r="D179" t="s">
        <v>545</v>
      </c>
      <c r="O179">
        <v>41.905799865722699</v>
      </c>
      <c r="P179">
        <v>45.176261901855497</v>
      </c>
      <c r="Q179">
        <v>49.550998687744098</v>
      </c>
      <c r="R179">
        <v>51.140010833740199</v>
      </c>
      <c r="U179">
        <v>49.034500122070298</v>
      </c>
      <c r="V179">
        <v>59.878860473632798</v>
      </c>
      <c r="W179">
        <v>76.001998901367202</v>
      </c>
      <c r="X179">
        <v>89.3397216796875</v>
      </c>
      <c r="Y179">
        <v>94.183212280273395</v>
      </c>
      <c r="Z179">
        <v>101.564262390137</v>
      </c>
      <c r="AA179">
        <v>110.623641967773</v>
      </c>
      <c r="AB179">
        <v>110.334121704102</v>
      </c>
      <c r="AC179">
        <v>109.090461730957</v>
      </c>
      <c r="AD179">
        <v>102.758140563965</v>
      </c>
      <c r="AE179">
        <v>89.578323364257798</v>
      </c>
      <c r="AF179">
        <v>85.856727600097699</v>
      </c>
      <c r="AG179">
        <v>81.844383239746094</v>
      </c>
      <c r="AH179">
        <v>79.761650085449205</v>
      </c>
      <c r="AI179">
        <v>83.102859497070298</v>
      </c>
      <c r="AJ179">
        <v>82.322502136230497</v>
      </c>
      <c r="AK179">
        <v>86.744377136230497</v>
      </c>
      <c r="AL179">
        <v>91.295860290527301</v>
      </c>
      <c r="AM179">
        <v>91.537902832031193</v>
      </c>
      <c r="AN179">
        <v>87.447532653808594</v>
      </c>
      <c r="AO179">
        <v>76.797210693359403</v>
      </c>
      <c r="AR179">
        <v>91.583091735839801</v>
      </c>
      <c r="AS179">
        <v>95.510162353515597</v>
      </c>
      <c r="AT179">
        <v>92.52490234375</v>
      </c>
      <c r="AU179">
        <v>93.697616577148395</v>
      </c>
      <c r="AV179">
        <v>94.809593200683594</v>
      </c>
      <c r="AW179">
        <v>95.780906677246094</v>
      </c>
      <c r="AX179">
        <v>96.306350708007798</v>
      </c>
      <c r="AY179">
        <v>96.662437438964801</v>
      </c>
      <c r="AZ179">
        <v>88.06884765625</v>
      </c>
      <c r="BA179">
        <v>79.268753051757798</v>
      </c>
      <c r="BB179">
        <v>80.309173583984403</v>
      </c>
      <c r="BC179">
        <v>79.830039978027301</v>
      </c>
      <c r="BD179">
        <v>84.680557250976605</v>
      </c>
      <c r="BE179">
        <v>85.912590026855497</v>
      </c>
      <c r="BF179">
        <v>87.834970225782598</v>
      </c>
      <c r="BG179">
        <v>84.121658014492297</v>
      </c>
      <c r="BH179">
        <v>25.5657563073792</v>
      </c>
      <c r="BI179">
        <v>78.8780517578125</v>
      </c>
      <c r="BK179">
        <v>81.627851366733097</v>
      </c>
      <c r="BM179">
        <v>84.371583976484999</v>
      </c>
      <c r="BN179">
        <v>83.809255595677897</v>
      </c>
      <c r="BP179">
        <v>89.587112426757798</v>
      </c>
    </row>
    <row r="180" spans="1:70" x14ac:dyDescent="0.3">
      <c r="A180" t="s">
        <v>180</v>
      </c>
      <c r="B180" t="s">
        <v>398</v>
      </c>
      <c r="C180" t="s">
        <v>544</v>
      </c>
      <c r="D180" t="s">
        <v>545</v>
      </c>
      <c r="O180">
        <v>69.590019226074205</v>
      </c>
      <c r="P180">
        <v>71.529029846191406</v>
      </c>
      <c r="Q180">
        <v>70.507621765136705</v>
      </c>
      <c r="R180">
        <v>71.768058776855497</v>
      </c>
      <c r="S180">
        <v>71.018409729003906</v>
      </c>
      <c r="T180">
        <v>72.555763244628906</v>
      </c>
      <c r="U180">
        <v>74.628707885742202</v>
      </c>
      <c r="V180">
        <v>73.581008911132798</v>
      </c>
      <c r="W180">
        <v>71.570610046386705</v>
      </c>
      <c r="X180">
        <v>77.202972412109403</v>
      </c>
      <c r="Y180">
        <v>85.832778930664105</v>
      </c>
      <c r="AA180">
        <v>86.881896972656193</v>
      </c>
      <c r="AB180">
        <v>88.812980651855497</v>
      </c>
      <c r="AC180">
        <v>85.826339721679702</v>
      </c>
      <c r="AD180">
        <v>87.639228820800795</v>
      </c>
      <c r="AE180">
        <v>84.543838500976605</v>
      </c>
      <c r="AF180">
        <v>86.359046936035199</v>
      </c>
      <c r="AG180">
        <v>86.578376770019503</v>
      </c>
      <c r="AH180">
        <v>83.963516235351605</v>
      </c>
      <c r="AI180">
        <v>87.267112731933594</v>
      </c>
      <c r="AJ180">
        <v>91.097503662109403</v>
      </c>
      <c r="AK180">
        <v>93.369766235351605</v>
      </c>
      <c r="AL180">
        <v>96.252990722656193</v>
      </c>
      <c r="AM180">
        <v>98.515022277832003</v>
      </c>
      <c r="AN180">
        <v>97.018592834472699</v>
      </c>
      <c r="AO180">
        <v>95.602142333984403</v>
      </c>
      <c r="AP180">
        <v>96.891777038574205</v>
      </c>
      <c r="AQ180">
        <v>97.037422180175795</v>
      </c>
      <c r="AR180">
        <v>102.528617858887</v>
      </c>
      <c r="AS180">
        <v>103.338760375977</v>
      </c>
      <c r="AT180">
        <v>107.02789306640599</v>
      </c>
      <c r="AU180">
        <v>114.217742919922</v>
      </c>
      <c r="AV180">
        <v>115.29280090332</v>
      </c>
      <c r="AW180">
        <v>117.809127807617</v>
      </c>
      <c r="AX180">
        <v>119.177742004395</v>
      </c>
      <c r="AY180">
        <v>123.00740814209</v>
      </c>
      <c r="AZ180">
        <v>121.69915008544901</v>
      </c>
      <c r="BA180">
        <v>121.101028442383</v>
      </c>
      <c r="BC180">
        <v>119.666778564453</v>
      </c>
      <c r="BP180">
        <v>109.53639221191401</v>
      </c>
    </row>
    <row r="181" spans="1:70" x14ac:dyDescent="0.3">
      <c r="A181" t="s">
        <v>177</v>
      </c>
      <c r="B181" t="s">
        <v>395</v>
      </c>
      <c r="C181" t="s">
        <v>544</v>
      </c>
      <c r="D181" t="s">
        <v>545</v>
      </c>
      <c r="AS181">
        <v>107.383682250977</v>
      </c>
      <c r="AT181">
        <v>106.740676879883</v>
      </c>
      <c r="AU181">
        <v>106.95832061767599</v>
      </c>
      <c r="AV181">
        <v>108.030838012695</v>
      </c>
      <c r="AW181">
        <v>108.201370239258</v>
      </c>
      <c r="AX181">
        <v>107.94098663330099</v>
      </c>
      <c r="AY181">
        <v>107.83991241455099</v>
      </c>
      <c r="AZ181">
        <v>107.65289306640599</v>
      </c>
      <c r="BA181">
        <v>107.34828948974599</v>
      </c>
      <c r="BB181">
        <v>107.019401550293</v>
      </c>
      <c r="BC181">
        <v>106.750358581543</v>
      </c>
      <c r="BD181">
        <v>107.07277679443401</v>
      </c>
      <c r="BE181">
        <v>107.04824066162099</v>
      </c>
      <c r="BH181">
        <v>106.05941772460901</v>
      </c>
      <c r="BI181">
        <v>105.680366516113</v>
      </c>
      <c r="BJ181">
        <v>105.039421081543</v>
      </c>
      <c r="BK181">
        <v>104.561111450195</v>
      </c>
      <c r="BL181">
        <v>104.578910827637</v>
      </c>
      <c r="BM181">
        <v>104.338813781738</v>
      </c>
      <c r="BN181">
        <v>104.37840270996099</v>
      </c>
      <c r="BO181">
        <v>104.215446472168</v>
      </c>
      <c r="BP181">
        <v>104.15657043457</v>
      </c>
    </row>
    <row r="182" spans="1:70" x14ac:dyDescent="0.3">
      <c r="A182" t="s">
        <v>185</v>
      </c>
      <c r="B182" t="s">
        <v>403</v>
      </c>
      <c r="C182" t="s">
        <v>544</v>
      </c>
      <c r="D182" t="s">
        <v>545</v>
      </c>
      <c r="AS182">
        <v>99.140151977539105</v>
      </c>
      <c r="AT182">
        <v>99.325759887695298</v>
      </c>
      <c r="AU182">
        <v>99.315460205078097</v>
      </c>
      <c r="AV182">
        <v>99.278511047363295</v>
      </c>
      <c r="AW182">
        <v>99.345809936523395</v>
      </c>
      <c r="AX182">
        <v>99.259803771972699</v>
      </c>
      <c r="AY182">
        <v>99.358306884765597</v>
      </c>
      <c r="AZ182">
        <v>99.571197509765597</v>
      </c>
      <c r="BA182">
        <v>99.708251953125</v>
      </c>
      <c r="BB182">
        <v>99.710052490234403</v>
      </c>
      <c r="BC182">
        <v>99.625511169433594</v>
      </c>
      <c r="BD182">
        <v>99.692680358886705</v>
      </c>
      <c r="BE182">
        <v>99.630523681640597</v>
      </c>
      <c r="BF182">
        <v>99.644561767578097</v>
      </c>
      <c r="BG182">
        <v>99.492156982421903</v>
      </c>
      <c r="BH182">
        <v>99.374046325683594</v>
      </c>
      <c r="BI182">
        <v>99.226127624511705</v>
      </c>
      <c r="BJ182">
        <v>99.271492004394503</v>
      </c>
      <c r="BK182">
        <v>99.174423217773395</v>
      </c>
      <c r="BL182">
        <v>99.080650329589801</v>
      </c>
      <c r="BM182">
        <v>98.885749816894503</v>
      </c>
      <c r="BN182">
        <v>98.973190307617202</v>
      </c>
      <c r="BO182">
        <v>98.966758728027301</v>
      </c>
      <c r="BP182">
        <v>98.610443115234403</v>
      </c>
    </row>
    <row r="183" spans="1:70" x14ac:dyDescent="0.3">
      <c r="A183" t="s">
        <v>176</v>
      </c>
      <c r="B183" t="s">
        <v>394</v>
      </c>
      <c r="C183" t="s">
        <v>544</v>
      </c>
      <c r="D183" t="s">
        <v>545</v>
      </c>
      <c r="O183">
        <v>25.196479797363299</v>
      </c>
      <c r="Z183">
        <v>68.379920959472699</v>
      </c>
      <c r="AA183">
        <v>70.934143066406193</v>
      </c>
      <c r="AB183">
        <v>76.346817016601605</v>
      </c>
      <c r="AC183">
        <v>80.036567687988295</v>
      </c>
      <c r="AD183">
        <v>80.686729431152301</v>
      </c>
      <c r="AE183">
        <v>80.607093811035199</v>
      </c>
      <c r="AF183">
        <v>82.617843627929702</v>
      </c>
      <c r="AG183">
        <v>87.021041870117202</v>
      </c>
      <c r="AH183">
        <v>101.576522827148</v>
      </c>
      <c r="AI183">
        <v>109.224731445312</v>
      </c>
      <c r="AJ183">
        <v>109.97743988037099</v>
      </c>
      <c r="AK183">
        <v>112.602188110352</v>
      </c>
      <c r="AL183">
        <v>111.68221282959</v>
      </c>
      <c r="AM183">
        <v>112.38568115234401</v>
      </c>
      <c r="AN183">
        <v>112.07891845703099</v>
      </c>
      <c r="AO183">
        <v>115.608367919922</v>
      </c>
      <c r="AP183">
        <v>113.212593078613</v>
      </c>
      <c r="AR183">
        <v>111.57821655273401</v>
      </c>
      <c r="AS183">
        <v>114.34616851806599</v>
      </c>
      <c r="AT183">
        <v>106.702140808105</v>
      </c>
      <c r="AU183">
        <v>110.702140808105</v>
      </c>
      <c r="AV183">
        <v>109.978630065918</v>
      </c>
      <c r="AW183">
        <v>112.833976745605</v>
      </c>
      <c r="AX183">
        <v>113.656700134277</v>
      </c>
      <c r="AY183">
        <v>128.36468505859401</v>
      </c>
      <c r="AZ183">
        <v>130.22463989257801</v>
      </c>
      <c r="BA183">
        <v>128.88377380371099</v>
      </c>
      <c r="BB183">
        <v>141.32368469238301</v>
      </c>
      <c r="BC183">
        <v>147.086534908967</v>
      </c>
      <c r="BD183">
        <v>151.55048356112499</v>
      </c>
      <c r="BE183">
        <v>149.36055718479699</v>
      </c>
      <c r="BF183">
        <v>145.72610506292901</v>
      </c>
      <c r="BG183">
        <v>143.00222213558899</v>
      </c>
      <c r="BH183">
        <v>143.572010949657</v>
      </c>
      <c r="BI183">
        <v>139.177686890567</v>
      </c>
      <c r="BJ183">
        <v>135.34617628137701</v>
      </c>
      <c r="BL183">
        <v>137.43376159668</v>
      </c>
      <c r="BM183">
        <v>121.90357208252</v>
      </c>
      <c r="BN183">
        <v>119.97632950174599</v>
      </c>
      <c r="BO183">
        <v>121.23480432136699</v>
      </c>
      <c r="BP183">
        <v>126.553677663081</v>
      </c>
      <c r="BQ183">
        <v>124.621898762462</v>
      </c>
      <c r="BR183">
        <v>128.55874651410801</v>
      </c>
    </row>
    <row r="184" spans="1:70" x14ac:dyDescent="0.3">
      <c r="A184" t="s">
        <v>175</v>
      </c>
      <c r="B184" t="s">
        <v>393</v>
      </c>
      <c r="C184" t="s">
        <v>544</v>
      </c>
      <c r="D184" t="s">
        <v>545</v>
      </c>
      <c r="P184">
        <v>76.785713195800795</v>
      </c>
      <c r="Q184">
        <v>88.3736572265625</v>
      </c>
      <c r="R184">
        <v>89.743591308593807</v>
      </c>
      <c r="S184">
        <v>93.737373352050795</v>
      </c>
      <c r="AD184">
        <v>123.805458068848</v>
      </c>
      <c r="AQ184">
        <v>101.03280639648401</v>
      </c>
      <c r="AS184">
        <v>98.573196411132798</v>
      </c>
      <c r="AT184">
        <v>101.25155639648401</v>
      </c>
      <c r="AU184">
        <v>97.813873291015597</v>
      </c>
      <c r="AV184">
        <v>86.477989196777301</v>
      </c>
      <c r="AW184">
        <v>98.900390625</v>
      </c>
      <c r="AX184">
        <v>121.36637878418</v>
      </c>
      <c r="AY184">
        <v>96.938072204589801</v>
      </c>
      <c r="AZ184">
        <v>88.721260070800795</v>
      </c>
      <c r="BA184">
        <v>92.888893127441406</v>
      </c>
      <c r="BE184">
        <v>98.787879943847699</v>
      </c>
      <c r="BG184">
        <v>109.65949249267599</v>
      </c>
      <c r="BH184">
        <v>99.080157695013995</v>
      </c>
      <c r="BI184">
        <v>112.507781982422</v>
      </c>
      <c r="BL184">
        <v>104.79955291748</v>
      </c>
      <c r="BM184">
        <v>102.25771331787099</v>
      </c>
      <c r="BO184">
        <v>101.39037322998</v>
      </c>
      <c r="BP184">
        <v>109.89834207399301</v>
      </c>
      <c r="BQ184">
        <v>99.566865032559207</v>
      </c>
      <c r="BR184">
        <v>94.401330888463605</v>
      </c>
    </row>
    <row r="185" spans="1:70" x14ac:dyDescent="0.3">
      <c r="A185" t="s">
        <v>179</v>
      </c>
      <c r="B185" t="s">
        <v>397</v>
      </c>
      <c r="C185" t="s">
        <v>544</v>
      </c>
      <c r="D185" t="s">
        <v>545</v>
      </c>
      <c r="AS185">
        <v>98.773422241210895</v>
      </c>
      <c r="AT185">
        <v>99.183166503906193</v>
      </c>
      <c r="AU185">
        <v>99.506149291992202</v>
      </c>
      <c r="AV185">
        <v>99.952888488769503</v>
      </c>
      <c r="AW185">
        <v>99.667457580566406</v>
      </c>
      <c r="AX185">
        <v>99.828826904296903</v>
      </c>
      <c r="AY185">
        <v>99.596847534179702</v>
      </c>
      <c r="AZ185">
        <v>99.461486816406193</v>
      </c>
      <c r="BA185">
        <v>99.326713562011705</v>
      </c>
      <c r="BB185">
        <v>99.063713073730497</v>
      </c>
      <c r="BC185">
        <v>99.031539916992202</v>
      </c>
      <c r="BD185">
        <v>99.072731018066406</v>
      </c>
      <c r="BE185">
        <v>98.883140563964801</v>
      </c>
      <c r="BF185">
        <v>98.876289367675795</v>
      </c>
      <c r="BG185">
        <v>98.651443481445298</v>
      </c>
      <c r="BH185">
        <v>98.538139343261705</v>
      </c>
      <c r="BI185">
        <v>98.583747863769503</v>
      </c>
      <c r="BJ185">
        <v>98.480438232421903</v>
      </c>
      <c r="BK185">
        <v>98.552970886230497</v>
      </c>
      <c r="BL185">
        <v>98.254203796386705</v>
      </c>
      <c r="BM185">
        <v>97.536529541015597</v>
      </c>
      <c r="BN185">
        <v>97.916946411132798</v>
      </c>
      <c r="BO185">
        <v>96.5572509765625</v>
      </c>
      <c r="BP185">
        <v>96.867050170898395</v>
      </c>
    </row>
    <row r="186" spans="1:70" x14ac:dyDescent="0.3">
      <c r="A186" t="s">
        <v>602</v>
      </c>
      <c r="B186" t="s">
        <v>603</v>
      </c>
      <c r="C186" t="s">
        <v>544</v>
      </c>
      <c r="D186" t="s">
        <v>545</v>
      </c>
      <c r="AR186">
        <v>104.081092834473</v>
      </c>
      <c r="AS186">
        <v>103.86287689209</v>
      </c>
      <c r="AT186">
        <v>103.778373718262</v>
      </c>
      <c r="AU186">
        <v>103.699699401855</v>
      </c>
      <c r="AV186">
        <v>103.75302124023401</v>
      </c>
      <c r="AW186">
        <v>104.21224975585901</v>
      </c>
      <c r="AX186">
        <v>104.533653259277</v>
      </c>
      <c r="AY186">
        <v>104.56349182128901</v>
      </c>
      <c r="AZ186">
        <v>104.814399719238</v>
      </c>
      <c r="BA186">
        <v>104.962608337402</v>
      </c>
      <c r="BB186">
        <v>104.773788452148</v>
      </c>
      <c r="BC186">
        <v>104.51959991455099</v>
      </c>
      <c r="BD186">
        <v>104.21466064453099</v>
      </c>
      <c r="BE186">
        <v>103.88942718505901</v>
      </c>
      <c r="BF186">
        <v>104.2216796875</v>
      </c>
      <c r="BG186">
        <v>103.328002929688</v>
      </c>
      <c r="BH186">
        <v>102.90341949462901</v>
      </c>
      <c r="BI186">
        <v>102.840217590332</v>
      </c>
      <c r="BJ186">
        <v>102.41787719726599</v>
      </c>
      <c r="BK186">
        <v>102.26885986328099</v>
      </c>
      <c r="BL186">
        <v>102.320198059082</v>
      </c>
      <c r="BM186">
        <v>101.71923828125</v>
      </c>
      <c r="BN186">
        <v>101.008346557617</v>
      </c>
      <c r="BO186">
        <v>100.44085693359401</v>
      </c>
      <c r="BP186">
        <v>100.75277709960901</v>
      </c>
      <c r="BQ186">
        <v>100.67236328125</v>
      </c>
    </row>
    <row r="187" spans="1:70" x14ac:dyDescent="0.3">
      <c r="A187" t="s">
        <v>186</v>
      </c>
      <c r="B187" t="s">
        <v>404</v>
      </c>
      <c r="C187" t="s">
        <v>544</v>
      </c>
      <c r="D187" t="s">
        <v>545</v>
      </c>
      <c r="AS187">
        <v>92.622467041015597</v>
      </c>
      <c r="AT187">
        <v>93.130058288574205</v>
      </c>
      <c r="AU187">
        <v>92.991149902343807</v>
      </c>
      <c r="AV187">
        <v>96.498199462890597</v>
      </c>
      <c r="AX187">
        <v>96.953971862792997</v>
      </c>
      <c r="AY187">
        <v>95.923011779785199</v>
      </c>
      <c r="AZ187">
        <v>93.547142028808594</v>
      </c>
      <c r="BA187">
        <v>91.815963745117202</v>
      </c>
      <c r="BB187">
        <v>100.96978759765599</v>
      </c>
      <c r="BD187">
        <v>111.140314266055</v>
      </c>
      <c r="BE187">
        <v>103.370301718633</v>
      </c>
      <c r="BF187">
        <v>105.94441986084</v>
      </c>
      <c r="BG187">
        <v>105.67872619628901</v>
      </c>
      <c r="BH187">
        <v>104.035346984863</v>
      </c>
      <c r="BI187">
        <v>103.31317138671901</v>
      </c>
      <c r="BJ187">
        <v>101.832942186837</v>
      </c>
      <c r="BK187">
        <v>101.07990264892599</v>
      </c>
      <c r="BL187">
        <v>97.735051546391702</v>
      </c>
      <c r="BM187">
        <v>90.636727982112006</v>
      </c>
      <c r="BN187">
        <v>89.198029420725604</v>
      </c>
      <c r="BO187">
        <v>89.245571441417098</v>
      </c>
    </row>
    <row r="188" spans="1:70" x14ac:dyDescent="0.3">
      <c r="A188" t="s">
        <v>604</v>
      </c>
      <c r="B188" t="s">
        <v>605</v>
      </c>
      <c r="C188" t="s">
        <v>544</v>
      </c>
      <c r="D188" t="s">
        <v>545</v>
      </c>
      <c r="O188">
        <v>89.783836364746094</v>
      </c>
      <c r="P188">
        <v>85.913047790527301</v>
      </c>
      <c r="Q188">
        <v>87.184020996093807</v>
      </c>
      <c r="R188">
        <v>89.610359191894503</v>
      </c>
      <c r="S188">
        <v>92.29248046875</v>
      </c>
      <c r="T188">
        <v>94.500061035156193</v>
      </c>
      <c r="U188">
        <v>95.738006591796903</v>
      </c>
      <c r="V188">
        <v>95.592239379882798</v>
      </c>
      <c r="W188">
        <v>95.687568664550795</v>
      </c>
      <c r="X188">
        <v>94.726066589355497</v>
      </c>
      <c r="Y188">
        <v>95.444633483886705</v>
      </c>
      <c r="Z188">
        <v>97.328819274902301</v>
      </c>
      <c r="AA188">
        <v>97.813552856445298</v>
      </c>
      <c r="AB188">
        <v>98.21484375</v>
      </c>
      <c r="AC188">
        <v>98.859992980957003</v>
      </c>
      <c r="AD188">
        <v>99.731376647949205</v>
      </c>
      <c r="AE188">
        <v>99.681121826171903</v>
      </c>
      <c r="AF188">
        <v>100.910522460938</v>
      </c>
      <c r="AG188">
        <v>100.90926361084</v>
      </c>
      <c r="AH188">
        <v>100.36866760253901</v>
      </c>
      <c r="AI188">
        <v>98.575752258300795</v>
      </c>
      <c r="AJ188">
        <v>98.847511291503906</v>
      </c>
      <c r="AK188">
        <v>97.615989685058594</v>
      </c>
      <c r="AL188">
        <v>97.159278869628906</v>
      </c>
      <c r="AM188">
        <v>98.116813659667997</v>
      </c>
      <c r="AN188">
        <v>98.836959838867202</v>
      </c>
      <c r="AO188">
        <v>98.858779907226605</v>
      </c>
      <c r="AP188">
        <v>98.944877624511705</v>
      </c>
      <c r="AQ188">
        <v>99.400993347167997</v>
      </c>
      <c r="AR188">
        <v>99.638969421386705</v>
      </c>
      <c r="AS188">
        <v>100.662727355957</v>
      </c>
      <c r="AT188">
        <v>102.15438079834</v>
      </c>
      <c r="AU188">
        <v>102.798301696777</v>
      </c>
      <c r="AV188">
        <v>103.452262878418</v>
      </c>
      <c r="AW188">
        <v>104.03269958496099</v>
      </c>
      <c r="AX188">
        <v>104.68064117431599</v>
      </c>
      <c r="AY188">
        <v>105.962051391602</v>
      </c>
      <c r="AZ188">
        <v>105.44309997558599</v>
      </c>
      <c r="BA188">
        <v>105.810958862305</v>
      </c>
      <c r="BB188">
        <v>105.550102233887</v>
      </c>
      <c r="BC188">
        <v>107.36750793457</v>
      </c>
      <c r="BD188">
        <v>105.194328308105</v>
      </c>
      <c r="BE188">
        <v>104.91342163085901</v>
      </c>
      <c r="BF188">
        <v>104.03433227539099</v>
      </c>
      <c r="BG188">
        <v>103.14617919921901</v>
      </c>
      <c r="BH188">
        <v>102.49981689453099</v>
      </c>
      <c r="BI188">
        <v>102.03037261962901</v>
      </c>
      <c r="BJ188">
        <v>101.911407470703</v>
      </c>
      <c r="BK188">
        <v>101.287216186523</v>
      </c>
      <c r="BL188">
        <v>100.89958190918</v>
      </c>
      <c r="BM188">
        <v>100.656608581543</v>
      </c>
      <c r="BN188">
        <v>99.947998046875</v>
      </c>
      <c r="BO188">
        <v>100.855171203613</v>
      </c>
      <c r="BP188">
        <v>101.056182861328</v>
      </c>
      <c r="BQ188">
        <v>102.251792907715</v>
      </c>
    </row>
    <row r="189" spans="1:70" x14ac:dyDescent="0.3">
      <c r="A189" t="s">
        <v>187</v>
      </c>
      <c r="B189" t="s">
        <v>405</v>
      </c>
      <c r="C189" t="s">
        <v>544</v>
      </c>
      <c r="D189" t="s">
        <v>545</v>
      </c>
      <c r="P189">
        <v>45.187839508056598</v>
      </c>
      <c r="Q189">
        <v>45.306388854980497</v>
      </c>
      <c r="R189">
        <v>47.6775093078613</v>
      </c>
      <c r="S189">
        <v>50.064849853515597</v>
      </c>
      <c r="T189">
        <v>50.5702095031738</v>
      </c>
      <c r="U189">
        <v>51.726558685302699</v>
      </c>
      <c r="V189">
        <v>53.186210632324197</v>
      </c>
      <c r="W189">
        <v>46.924728393554702</v>
      </c>
      <c r="X189">
        <v>46.622718811035199</v>
      </c>
      <c r="Y189">
        <v>45.897079467773402</v>
      </c>
      <c r="Z189">
        <v>46.587699890136697</v>
      </c>
      <c r="AA189">
        <v>47.261798858642599</v>
      </c>
      <c r="AB189">
        <v>49.195388793945298</v>
      </c>
      <c r="AC189">
        <v>49.3468208312988</v>
      </c>
      <c r="AD189">
        <v>50.752201080322301</v>
      </c>
      <c r="AE189">
        <v>50.772640228271499</v>
      </c>
      <c r="AF189">
        <v>52.382179260253899</v>
      </c>
      <c r="AG189">
        <v>52.215240478515597</v>
      </c>
      <c r="AH189">
        <v>51.955909729003899</v>
      </c>
      <c r="AI189">
        <v>51.885948181152301</v>
      </c>
      <c r="AS189">
        <v>62.769309997558601</v>
      </c>
      <c r="AT189">
        <v>62.63623046875</v>
      </c>
      <c r="AU189">
        <v>62.924209594726598</v>
      </c>
      <c r="AV189">
        <v>64.727272033691406</v>
      </c>
      <c r="AW189">
        <v>68.615646362304702</v>
      </c>
      <c r="AX189">
        <v>71.953346252441406</v>
      </c>
      <c r="AY189">
        <v>68.533653259277301</v>
      </c>
      <c r="AZ189">
        <v>72.815872192382798</v>
      </c>
      <c r="BA189">
        <v>72.642990112304702</v>
      </c>
      <c r="BB189">
        <v>72.934379577636705</v>
      </c>
      <c r="BC189">
        <v>73.642736673934607</v>
      </c>
      <c r="BD189">
        <v>70.440669331993803</v>
      </c>
      <c r="BE189">
        <v>69.903863791220004</v>
      </c>
      <c r="BF189">
        <v>68.887571633027406</v>
      </c>
      <c r="BG189">
        <v>72.189797431875505</v>
      </c>
      <c r="BH189">
        <v>71.739919111641399</v>
      </c>
      <c r="BI189">
        <v>75.733641578647806</v>
      </c>
      <c r="BJ189">
        <v>74.497149935232002</v>
      </c>
      <c r="BK189">
        <v>77.386272267952194</v>
      </c>
      <c r="BL189">
        <v>78.702552622726998</v>
      </c>
      <c r="BN189">
        <v>80.316579007568507</v>
      </c>
      <c r="BO189">
        <v>78.940024884435203</v>
      </c>
      <c r="BP189">
        <v>81.379634612875094</v>
      </c>
      <c r="BQ189">
        <v>83.726068200404001</v>
      </c>
    </row>
    <row r="190" spans="1:70" x14ac:dyDescent="0.3">
      <c r="A190" t="s">
        <v>189</v>
      </c>
      <c r="B190" t="s">
        <v>407</v>
      </c>
      <c r="C190" t="s">
        <v>544</v>
      </c>
      <c r="D190" t="s">
        <v>545</v>
      </c>
      <c r="O190">
        <v>100.53914642334</v>
      </c>
      <c r="P190">
        <v>109.59073638916</v>
      </c>
      <c r="Q190">
        <v>112.99314880371099</v>
      </c>
      <c r="R190">
        <v>114.72470855712901</v>
      </c>
      <c r="S190">
        <v>115.21273803710901</v>
      </c>
      <c r="T190">
        <v>114.860893249512</v>
      </c>
      <c r="U190">
        <v>114.194389343262</v>
      </c>
      <c r="V190">
        <v>112.64626312255901</v>
      </c>
      <c r="W190">
        <v>111.702850341797</v>
      </c>
      <c r="X190">
        <v>109.009872436523</v>
      </c>
      <c r="Y190">
        <v>106.7783203125</v>
      </c>
      <c r="Z190">
        <v>104.90512084960901</v>
      </c>
      <c r="AA190">
        <v>104.457931518555</v>
      </c>
      <c r="AB190">
        <v>103.476860046387</v>
      </c>
      <c r="AC190">
        <v>104.09278869628901</v>
      </c>
      <c r="AD190">
        <v>104.02223205566401</v>
      </c>
      <c r="AE190">
        <v>104.52484130859401</v>
      </c>
      <c r="AF190">
        <v>104.544998168945</v>
      </c>
      <c r="AG190">
        <v>103.22779083252</v>
      </c>
      <c r="AH190">
        <v>103.41074371337901</v>
      </c>
      <c r="AI190">
        <v>102.014602661133</v>
      </c>
      <c r="AJ190">
        <v>100.05087280273401</v>
      </c>
      <c r="AK190">
        <v>99.350418090820298</v>
      </c>
      <c r="AL190">
        <v>99.106819152832003</v>
      </c>
      <c r="AM190">
        <v>98.170639038085895</v>
      </c>
      <c r="AN190">
        <v>98.149978637695298</v>
      </c>
      <c r="AO190">
        <v>99.85986328125</v>
      </c>
      <c r="AR190">
        <v>103.518852233887</v>
      </c>
      <c r="AS190">
        <v>104.72344970703099</v>
      </c>
      <c r="AT190">
        <v>105.98446655273401</v>
      </c>
      <c r="AU190">
        <v>108.213760375977</v>
      </c>
      <c r="AV190">
        <v>107.406356811523</v>
      </c>
      <c r="AW190">
        <v>108.94719696044901</v>
      </c>
      <c r="AX190">
        <v>107.97720336914099</v>
      </c>
      <c r="AY190">
        <v>108.62091064453099</v>
      </c>
      <c r="AZ190">
        <v>109.872016906738</v>
      </c>
      <c r="BA190">
        <v>108.608779907227</v>
      </c>
      <c r="BB190">
        <v>106.59694671630901</v>
      </c>
      <c r="BC190">
        <v>105.504772050038</v>
      </c>
      <c r="BD190">
        <v>104.52301204504199</v>
      </c>
      <c r="BE190">
        <v>103.146450660238</v>
      </c>
      <c r="BF190">
        <v>102.088016559889</v>
      </c>
      <c r="BG190">
        <v>99.132606826683997</v>
      </c>
      <c r="BH190">
        <v>96.205074799494</v>
      </c>
      <c r="BI190">
        <v>93.437502855941702</v>
      </c>
      <c r="BJ190">
        <v>94.765701534777406</v>
      </c>
      <c r="BL190">
        <v>93.328642645015506</v>
      </c>
      <c r="BM190">
        <v>95.204877126487801</v>
      </c>
      <c r="BN190">
        <v>100.88841591996</v>
      </c>
      <c r="BO190">
        <v>101.563230633345</v>
      </c>
      <c r="BP190">
        <v>95.203393587737594</v>
      </c>
    </row>
    <row r="191" spans="1:70" x14ac:dyDescent="0.3">
      <c r="A191" t="s">
        <v>192</v>
      </c>
      <c r="B191" t="s">
        <v>410</v>
      </c>
      <c r="C191" t="s">
        <v>544</v>
      </c>
      <c r="D191" t="s">
        <v>545</v>
      </c>
      <c r="O191">
        <v>106.731986999512</v>
      </c>
      <c r="P191">
        <v>107.93898773193401</v>
      </c>
      <c r="Q191">
        <v>108.626358032227</v>
      </c>
      <c r="R191">
        <v>111.563232421875</v>
      </c>
      <c r="S191">
        <v>112.67767333984401</v>
      </c>
      <c r="T191">
        <v>113.743522644043</v>
      </c>
      <c r="U191">
        <v>115.63347625732401</v>
      </c>
      <c r="V191">
        <v>115.13703155517599</v>
      </c>
      <c r="W191">
        <v>114.98755645752</v>
      </c>
      <c r="X191">
        <v>113.045852661133</v>
      </c>
      <c r="Y191">
        <v>112.02545166015599</v>
      </c>
      <c r="Z191">
        <v>112.57420349121099</v>
      </c>
      <c r="AA191">
        <v>115.582359313965</v>
      </c>
      <c r="AB191">
        <v>113.750778198242</v>
      </c>
      <c r="AC191">
        <v>113.626602172852</v>
      </c>
      <c r="AD191">
        <v>119.06511688232401</v>
      </c>
      <c r="AE191">
        <v>113.76918792724599</v>
      </c>
      <c r="AF191">
        <v>114.16471862793</v>
      </c>
      <c r="AG191">
        <v>114.62680053710901</v>
      </c>
      <c r="AH191">
        <v>115.0830078125</v>
      </c>
      <c r="AI191">
        <v>115.288711547852</v>
      </c>
      <c r="AJ191">
        <v>113.666343688965</v>
      </c>
      <c r="AK191">
        <v>111.031051635742</v>
      </c>
      <c r="AL191">
        <v>111.87198638916</v>
      </c>
      <c r="AM191">
        <v>113.52668762207</v>
      </c>
      <c r="AN191">
        <v>114.883460998535</v>
      </c>
      <c r="AO191">
        <v>114.472618103027</v>
      </c>
      <c r="AP191">
        <v>113.49411773681599</v>
      </c>
      <c r="AQ191">
        <v>116.30690765380901</v>
      </c>
      <c r="AR191">
        <v>116.96556854248</v>
      </c>
      <c r="AS191">
        <v>116.37728881835901</v>
      </c>
      <c r="AT191">
        <v>116.05117034912099</v>
      </c>
      <c r="AU191">
        <v>115.819259643555</v>
      </c>
      <c r="AV191">
        <v>114.657218933105</v>
      </c>
      <c r="AW191">
        <v>114.19228363037099</v>
      </c>
      <c r="AX191">
        <v>114.13503265380901</v>
      </c>
      <c r="AY191">
        <v>114.31337738037099</v>
      </c>
      <c r="AZ191">
        <v>114.932861328125</v>
      </c>
      <c r="BA191">
        <v>112.584442138672</v>
      </c>
      <c r="BB191">
        <v>112.00821685791</v>
      </c>
      <c r="BC191">
        <v>112.18659210205099</v>
      </c>
      <c r="BD191">
        <v>109.572143554688</v>
      </c>
      <c r="BE191">
        <v>103.61678314209</v>
      </c>
      <c r="BF191">
        <v>105.15219116210901</v>
      </c>
      <c r="BG191">
        <v>102.94985961914099</v>
      </c>
      <c r="BH191">
        <v>102.787979125977</v>
      </c>
      <c r="BI191">
        <v>104.08795166015599</v>
      </c>
      <c r="BJ191">
        <v>102.807487487793</v>
      </c>
      <c r="BK191">
        <v>104.41258239746099</v>
      </c>
      <c r="BL191">
        <v>108.469970703125</v>
      </c>
      <c r="BM191">
        <v>113.06582641601599</v>
      </c>
      <c r="BN191">
        <v>113.829208374023</v>
      </c>
      <c r="BO191">
        <v>114.349319458008</v>
      </c>
      <c r="BP191">
        <v>113.900588989258</v>
      </c>
    </row>
    <row r="192" spans="1:70" x14ac:dyDescent="0.3">
      <c r="A192" t="s">
        <v>193</v>
      </c>
      <c r="B192" t="s">
        <v>411</v>
      </c>
      <c r="C192" t="s">
        <v>544</v>
      </c>
      <c r="D192" t="s">
        <v>545</v>
      </c>
      <c r="P192">
        <v>99.535942077636705</v>
      </c>
      <c r="Q192">
        <v>97.470626831054702</v>
      </c>
      <c r="R192">
        <v>95.651336669921903</v>
      </c>
      <c r="S192">
        <v>96.513496398925795</v>
      </c>
      <c r="T192">
        <v>97.991020202636705</v>
      </c>
      <c r="U192">
        <v>98.988838195800795</v>
      </c>
      <c r="V192">
        <v>100.591117858887</v>
      </c>
      <c r="W192">
        <v>100.12953948974599</v>
      </c>
      <c r="X192">
        <v>103.032440185547</v>
      </c>
      <c r="Y192">
        <v>101.18560791015599</v>
      </c>
      <c r="Z192">
        <v>105.08544921875</v>
      </c>
      <c r="AA192">
        <v>104.108688354492</v>
      </c>
      <c r="AB192">
        <v>103.74017333984401</v>
      </c>
      <c r="AC192">
        <v>103.90518951416</v>
      </c>
      <c r="AD192">
        <v>103.02027130127</v>
      </c>
      <c r="AE192">
        <v>102.258178710938</v>
      </c>
      <c r="AF192">
        <v>102.875526428223</v>
      </c>
      <c r="AG192">
        <v>104.656867980957</v>
      </c>
      <c r="AH192">
        <v>106.024131774902</v>
      </c>
      <c r="AI192">
        <v>106.46633148193401</v>
      </c>
      <c r="AJ192">
        <v>105.01100158691401</v>
      </c>
      <c r="AK192">
        <v>103.304977416992</v>
      </c>
      <c r="AL192">
        <v>102.16220092773401</v>
      </c>
      <c r="AM192">
        <v>100.19603729248</v>
      </c>
      <c r="AN192">
        <v>99.318458557128906</v>
      </c>
      <c r="AO192">
        <v>102.639106750488</v>
      </c>
      <c r="AP192">
        <v>103.284637451172</v>
      </c>
      <c r="AQ192">
        <v>102.765266418457</v>
      </c>
      <c r="AR192">
        <v>103.61451721191401</v>
      </c>
      <c r="AS192">
        <v>104.052787780762</v>
      </c>
      <c r="AT192">
        <v>103.305671691895</v>
      </c>
      <c r="AU192">
        <v>102.620742797852</v>
      </c>
      <c r="AV192">
        <v>102.732582092285</v>
      </c>
      <c r="AW192">
        <v>102.27513122558599</v>
      </c>
      <c r="AX192">
        <v>101.720321655273</v>
      </c>
      <c r="AY192">
        <v>100.087287902832</v>
      </c>
      <c r="AZ192">
        <v>100.310913085938</v>
      </c>
      <c r="BA192">
        <v>101.465858459473</v>
      </c>
      <c r="BB192">
        <v>102.759162902832</v>
      </c>
      <c r="BG192">
        <v>104.62998779348599</v>
      </c>
      <c r="BH192">
        <v>103.408354699272</v>
      </c>
      <c r="BI192">
        <v>101.721937186986</v>
      </c>
      <c r="BJ192">
        <v>99.366673008075693</v>
      </c>
      <c r="BK192">
        <v>94.554134521708505</v>
      </c>
      <c r="BL192">
        <v>93.007687127469495</v>
      </c>
      <c r="BM192">
        <v>93.282238648583899</v>
      </c>
      <c r="BN192">
        <v>88.8345145801337</v>
      </c>
      <c r="BO192">
        <v>90.613143832561093</v>
      </c>
      <c r="BP192">
        <v>92.446210701521494</v>
      </c>
      <c r="BQ192">
        <v>94.033090638319393</v>
      </c>
    </row>
    <row r="193" spans="1:69" x14ac:dyDescent="0.3">
      <c r="A193" t="s">
        <v>188</v>
      </c>
      <c r="B193" t="s">
        <v>406</v>
      </c>
      <c r="C193" t="s">
        <v>544</v>
      </c>
      <c r="D193" t="s">
        <v>545</v>
      </c>
      <c r="AR193">
        <v>114.656211853027</v>
      </c>
      <c r="AS193">
        <v>114.16813659668</v>
      </c>
      <c r="AV193">
        <v>113.16989898681599</v>
      </c>
      <c r="AW193">
        <v>108.35279846191401</v>
      </c>
      <c r="AX193">
        <v>109.52670288085901</v>
      </c>
      <c r="AY193">
        <v>107.807418823242</v>
      </c>
      <c r="AZ193">
        <v>107.82122802734401</v>
      </c>
      <c r="BF193">
        <v>116.396896362305</v>
      </c>
      <c r="BG193">
        <v>112.723518371582</v>
      </c>
      <c r="BM193">
        <v>105.470909118652</v>
      </c>
      <c r="BN193">
        <v>108.989547729492</v>
      </c>
      <c r="BO193">
        <v>92.014134275618403</v>
      </c>
      <c r="BP193">
        <v>100.71890726096299</v>
      </c>
    </row>
    <row r="194" spans="1:69" x14ac:dyDescent="0.3">
      <c r="A194" t="s">
        <v>190</v>
      </c>
      <c r="B194" t="s">
        <v>408</v>
      </c>
      <c r="C194" t="s">
        <v>544</v>
      </c>
      <c r="D194" t="s">
        <v>545</v>
      </c>
      <c r="O194">
        <v>46.913520812988303</v>
      </c>
      <c r="P194">
        <v>46.637870788574197</v>
      </c>
      <c r="Q194">
        <v>47.214431762695298</v>
      </c>
      <c r="R194">
        <v>48.757961273193402</v>
      </c>
      <c r="S194">
        <v>49.815521240234403</v>
      </c>
      <c r="T194">
        <v>50.484359741210902</v>
      </c>
      <c r="U194">
        <v>52.140178680419901</v>
      </c>
      <c r="V194">
        <v>52.035961151122997</v>
      </c>
      <c r="W194">
        <v>53.306831359863303</v>
      </c>
      <c r="X194">
        <v>55.730751037597699</v>
      </c>
      <c r="Y194">
        <v>59.539958953857401</v>
      </c>
      <c r="Z194">
        <v>59.0731811523438</v>
      </c>
      <c r="AA194">
        <v>60.602840423583999</v>
      </c>
      <c r="AC194">
        <v>65.181236267089801</v>
      </c>
      <c r="AE194">
        <v>67.203620910644503</v>
      </c>
      <c r="AF194">
        <v>67.931327819824205</v>
      </c>
      <c r="AG194">
        <v>69.022926330566406</v>
      </c>
      <c r="AH194">
        <v>71.291732788085895</v>
      </c>
      <c r="AI194">
        <v>69.469749450683594</v>
      </c>
      <c r="AJ194">
        <v>68.815010070800795</v>
      </c>
      <c r="AK194">
        <v>69.969383239746094</v>
      </c>
      <c r="AL194">
        <v>72.833869934082003</v>
      </c>
      <c r="AM194">
        <v>74.340446472167997</v>
      </c>
      <c r="AN194">
        <v>73.446952819824205</v>
      </c>
      <c r="AO194">
        <v>72.145851135253906</v>
      </c>
      <c r="AP194">
        <v>71.445053100585895</v>
      </c>
      <c r="AQ194">
        <v>74.748962402343807</v>
      </c>
      <c r="AS194">
        <v>68.385292053222699</v>
      </c>
      <c r="AT194">
        <v>61.990638732910199</v>
      </c>
      <c r="AU194">
        <v>59.668281555175803</v>
      </c>
      <c r="AV194">
        <v>56.184829711914098</v>
      </c>
      <c r="AW194">
        <v>56.023979187011697</v>
      </c>
      <c r="AX194">
        <v>57.029369354247997</v>
      </c>
      <c r="AY194">
        <v>55.561408996582003</v>
      </c>
      <c r="BA194">
        <v>59.442958831787102</v>
      </c>
      <c r="BE194">
        <v>100.860790212899</v>
      </c>
      <c r="BG194">
        <v>101.784196531861</v>
      </c>
      <c r="BI194">
        <v>104.505056068347</v>
      </c>
      <c r="BK194">
        <v>110.133799712778</v>
      </c>
      <c r="BL194">
        <v>105.31800871804199</v>
      </c>
      <c r="BM194">
        <v>102.053543720153</v>
      </c>
      <c r="BN194">
        <v>101.941113862706</v>
      </c>
      <c r="BO194">
        <v>111.086149294969</v>
      </c>
      <c r="BP194">
        <v>121.090488343548</v>
      </c>
    </row>
    <row r="195" spans="1:69" x14ac:dyDescent="0.3">
      <c r="A195" t="s">
        <v>194</v>
      </c>
      <c r="B195" t="s">
        <v>412</v>
      </c>
      <c r="C195" t="s">
        <v>544</v>
      </c>
      <c r="D195" t="s">
        <v>545</v>
      </c>
      <c r="AS195">
        <v>100.339080810547</v>
      </c>
      <c r="AT195">
        <v>100.530227661133</v>
      </c>
      <c r="AU195">
        <v>100.300102233887</v>
      </c>
      <c r="AV195">
        <v>100.183227539062</v>
      </c>
      <c r="AW195">
        <v>100.05149841308599</v>
      </c>
      <c r="AX195">
        <v>99.929122924804702</v>
      </c>
      <c r="AY195">
        <v>99.637519836425795</v>
      </c>
      <c r="AZ195">
        <v>99.117492675781193</v>
      </c>
      <c r="BA195">
        <v>98.238639831542997</v>
      </c>
      <c r="BB195">
        <v>98.039649963378906</v>
      </c>
      <c r="BC195">
        <v>98.619636535644503</v>
      </c>
      <c r="BD195">
        <v>99.258346557617202</v>
      </c>
      <c r="BE195">
        <v>100.68081665039099</v>
      </c>
      <c r="BF195">
        <v>100.07350158691401</v>
      </c>
      <c r="BG195">
        <v>99.563713073730497</v>
      </c>
      <c r="BJ195">
        <v>97.680328369140597</v>
      </c>
      <c r="BK195">
        <v>94.489761352539105</v>
      </c>
      <c r="BL195">
        <v>94.944961547851605</v>
      </c>
      <c r="BM195">
        <v>82.211540222167997</v>
      </c>
      <c r="BN195">
        <v>96.601821899414105</v>
      </c>
      <c r="BO195">
        <v>100.594268798828</v>
      </c>
      <c r="BP195">
        <v>105.397079467773</v>
      </c>
    </row>
    <row r="196" spans="1:69" x14ac:dyDescent="0.3">
      <c r="A196" t="s">
        <v>606</v>
      </c>
      <c r="B196" t="s">
        <v>607</v>
      </c>
      <c r="C196" t="s">
        <v>544</v>
      </c>
      <c r="D196" t="s">
        <v>545</v>
      </c>
      <c r="O196">
        <v>50.8442993164062</v>
      </c>
      <c r="P196">
        <v>51.977130889892599</v>
      </c>
      <c r="Q196">
        <v>53.448738098144503</v>
      </c>
      <c r="R196">
        <v>54.903400421142599</v>
      </c>
      <c r="S196">
        <v>57.412979125976598</v>
      </c>
      <c r="T196">
        <v>59.3007202148438</v>
      </c>
      <c r="U196">
        <v>61.274410247802699</v>
      </c>
      <c r="V196">
        <v>65.922760009765597</v>
      </c>
      <c r="W196">
        <v>71.185516357421903</v>
      </c>
      <c r="X196">
        <v>76.660377502441406</v>
      </c>
      <c r="Y196">
        <v>78.879737854003906</v>
      </c>
      <c r="Z196">
        <v>80.597549438476605</v>
      </c>
      <c r="AA196">
        <v>81.924156188964801</v>
      </c>
      <c r="AB196">
        <v>81.621047973632798</v>
      </c>
      <c r="AC196">
        <v>80.885459899902301</v>
      </c>
      <c r="AD196">
        <v>78.076507568359403</v>
      </c>
      <c r="AE196">
        <v>75.184577941894503</v>
      </c>
      <c r="AF196">
        <v>73.114936828613295</v>
      </c>
      <c r="AG196">
        <v>72.223243713378906</v>
      </c>
      <c r="AH196">
        <v>70.870201110839801</v>
      </c>
      <c r="AI196">
        <v>70.743232727050795</v>
      </c>
      <c r="AJ196">
        <v>71.998031616210895</v>
      </c>
      <c r="AK196">
        <v>71.772331237792997</v>
      </c>
      <c r="AL196">
        <v>73.214973449707003</v>
      </c>
      <c r="AM196">
        <v>73.151870727539105</v>
      </c>
      <c r="AN196">
        <v>73.535133361816406</v>
      </c>
      <c r="AO196">
        <v>70.4742431640625</v>
      </c>
      <c r="AP196">
        <v>74.535552978515597</v>
      </c>
      <c r="AQ196">
        <v>75.202812194824205</v>
      </c>
      <c r="AR196">
        <v>75.984687805175795</v>
      </c>
      <c r="AS196">
        <v>78.137496948242202</v>
      </c>
      <c r="AT196">
        <v>80.048713684082003</v>
      </c>
      <c r="AU196">
        <v>84.151313781738295</v>
      </c>
      <c r="AV196">
        <v>87.994270324707003</v>
      </c>
      <c r="AW196">
        <v>90.217277526855497</v>
      </c>
      <c r="AX196">
        <v>91.332077026367202</v>
      </c>
      <c r="AY196">
        <v>92.777137756347699</v>
      </c>
      <c r="AZ196">
        <v>92.686340332031193</v>
      </c>
      <c r="BA196">
        <v>93.45703125</v>
      </c>
      <c r="BB196">
        <v>93.951843261718807</v>
      </c>
      <c r="BC196">
        <v>94.168212890625</v>
      </c>
      <c r="BD196">
        <v>95.386901855468807</v>
      </c>
      <c r="BE196">
        <v>96.541221618652301</v>
      </c>
      <c r="BF196">
        <v>96.829231262207003</v>
      </c>
      <c r="BG196">
        <v>96.245101928710895</v>
      </c>
      <c r="BH196">
        <v>93.990913391113295</v>
      </c>
      <c r="BI196">
        <v>93.987701416015597</v>
      </c>
      <c r="BJ196">
        <v>94.368820190429702</v>
      </c>
      <c r="BK196">
        <v>95.086898803710895</v>
      </c>
      <c r="BL196">
        <v>95.784332275390597</v>
      </c>
      <c r="BM196">
        <v>96.324966430664105</v>
      </c>
      <c r="BN196">
        <v>96.593322753906193</v>
      </c>
      <c r="BO196">
        <v>97.089820861816406</v>
      </c>
      <c r="BP196">
        <v>97.940940856933594</v>
      </c>
      <c r="BQ196">
        <v>98.311851501464801</v>
      </c>
    </row>
    <row r="197" spans="1:69" x14ac:dyDescent="0.3">
      <c r="A197" t="s">
        <v>608</v>
      </c>
      <c r="B197" t="s">
        <v>415</v>
      </c>
      <c r="C197" t="s">
        <v>544</v>
      </c>
      <c r="D197" t="s">
        <v>545</v>
      </c>
      <c r="P197">
        <v>113.223747253418</v>
      </c>
      <c r="Q197">
        <v>114.501586914062</v>
      </c>
      <c r="R197">
        <v>114.09536743164099</v>
      </c>
      <c r="S197">
        <v>112.496963500977</v>
      </c>
      <c r="T197">
        <v>107.95491027832</v>
      </c>
      <c r="U197">
        <v>106.41983032226599</v>
      </c>
      <c r="V197">
        <v>109.51344299316401</v>
      </c>
      <c r="AA197">
        <v>92.904899597167997</v>
      </c>
      <c r="BB197">
        <v>97.119651794433594</v>
      </c>
      <c r="BC197">
        <v>99.173187255859403</v>
      </c>
      <c r="BD197">
        <v>92.791816711425795</v>
      </c>
      <c r="BE197">
        <v>95.894332885742202</v>
      </c>
      <c r="BF197">
        <v>97.878280639648395</v>
      </c>
      <c r="BG197">
        <v>99.829986572265597</v>
      </c>
      <c r="BH197">
        <v>100.33836364746099</v>
      </c>
      <c r="BI197">
        <v>94.419822692871094</v>
      </c>
      <c r="BK197">
        <v>95.0853271484375</v>
      </c>
      <c r="BP197">
        <v>88.084671020507798</v>
      </c>
      <c r="BQ197">
        <v>87.927877508562105</v>
      </c>
    </row>
    <row r="198" spans="1:69" x14ac:dyDescent="0.3">
      <c r="A198" t="s">
        <v>141</v>
      </c>
      <c r="B198" t="s">
        <v>359</v>
      </c>
      <c r="C198" t="s">
        <v>544</v>
      </c>
      <c r="D198" t="s">
        <v>545</v>
      </c>
      <c r="BB198">
        <v>101.15679931640599</v>
      </c>
      <c r="BK198">
        <v>92.064842224121094</v>
      </c>
    </row>
    <row r="199" spans="1:69" x14ac:dyDescent="0.3">
      <c r="A199" t="s">
        <v>195</v>
      </c>
      <c r="B199" t="s">
        <v>413</v>
      </c>
      <c r="C199" t="s">
        <v>544</v>
      </c>
      <c r="D199" t="s">
        <v>545</v>
      </c>
      <c r="AS199">
        <v>119.70580291748</v>
      </c>
      <c r="AT199">
        <v>119.48236083984401</v>
      </c>
      <c r="AU199">
        <v>115.040893554688</v>
      </c>
      <c r="AV199">
        <v>115.237442016602</v>
      </c>
      <c r="AW199">
        <v>114.672149658203</v>
      </c>
      <c r="AX199">
        <v>114.44255065918</v>
      </c>
      <c r="AY199">
        <v>113.981163024902</v>
      </c>
      <c r="AZ199">
        <v>113.063117980957</v>
      </c>
      <c r="BA199">
        <v>112.717491149902</v>
      </c>
      <c r="BB199">
        <v>110.981079101562</v>
      </c>
      <c r="BC199">
        <v>109.77262878418</v>
      </c>
      <c r="BD199">
        <v>109.651611328125</v>
      </c>
      <c r="BE199">
        <v>108.395370483398</v>
      </c>
      <c r="BF199">
        <v>109.373641967773</v>
      </c>
      <c r="BG199">
        <v>107.81330108642599</v>
      </c>
      <c r="BH199">
        <v>106.229377746582</v>
      </c>
      <c r="BI199">
        <v>105.03591156005901</v>
      </c>
      <c r="BJ199">
        <v>104.20973205566401</v>
      </c>
      <c r="BK199">
        <v>104.37857055664099</v>
      </c>
      <c r="BL199">
        <v>104.89768218994099</v>
      </c>
      <c r="BM199">
        <v>105.753471374512</v>
      </c>
      <c r="BN199">
        <v>105.672172546387</v>
      </c>
      <c r="BO199">
        <v>108.103523254395</v>
      </c>
      <c r="BP199">
        <v>110.98851776123</v>
      </c>
    </row>
    <row r="200" spans="1:69" x14ac:dyDescent="0.3">
      <c r="A200" t="s">
        <v>191</v>
      </c>
      <c r="B200" t="s">
        <v>409</v>
      </c>
      <c r="C200" t="s">
        <v>544</v>
      </c>
      <c r="D200" t="s">
        <v>545</v>
      </c>
      <c r="O200">
        <v>104.798950195312</v>
      </c>
      <c r="P200">
        <v>104.845092773438</v>
      </c>
      <c r="Q200">
        <v>99.683609008789105</v>
      </c>
      <c r="R200">
        <v>102.67716217041</v>
      </c>
      <c r="S200">
        <v>101.24568939209</v>
      </c>
      <c r="T200">
        <v>98.979446411132798</v>
      </c>
      <c r="U200">
        <v>101.228897094727</v>
      </c>
      <c r="V200">
        <v>102.854049682617</v>
      </c>
      <c r="W200">
        <v>105.405883789062</v>
      </c>
      <c r="X200">
        <v>107.215713500977</v>
      </c>
      <c r="Y200">
        <v>109.59188842773401</v>
      </c>
      <c r="Z200">
        <v>110.876541137695</v>
      </c>
      <c r="AA200">
        <v>109.60832977294901</v>
      </c>
      <c r="AB200">
        <v>111.70961761474599</v>
      </c>
      <c r="AC200">
        <v>111.59236907959</v>
      </c>
      <c r="AD200">
        <v>111.47339630127</v>
      </c>
      <c r="AE200">
        <v>110.40899658203099</v>
      </c>
      <c r="AF200">
        <v>110.980110168457</v>
      </c>
      <c r="AG200">
        <v>112.14459991455099</v>
      </c>
      <c r="AH200">
        <v>113.01499176025401</v>
      </c>
      <c r="AI200">
        <v>113.653518676758</v>
      </c>
      <c r="AJ200">
        <v>114.65412902832</v>
      </c>
      <c r="AK200">
        <v>110.615180969238</v>
      </c>
      <c r="AL200">
        <v>118.049606323242</v>
      </c>
      <c r="AM200">
        <v>116.30101776123</v>
      </c>
      <c r="AN200">
        <v>117.29685211181599</v>
      </c>
      <c r="AO200">
        <v>119.20758056640599</v>
      </c>
      <c r="AP200">
        <v>118.43650054931599</v>
      </c>
      <c r="AQ200">
        <v>123.407928466797</v>
      </c>
      <c r="AR200">
        <v>120.88362121582</v>
      </c>
      <c r="AS200">
        <v>121.56992340087901</v>
      </c>
      <c r="AT200">
        <v>120.682579040527</v>
      </c>
      <c r="AU200">
        <v>119.554328918457</v>
      </c>
      <c r="AV200">
        <v>115.775802612305</v>
      </c>
      <c r="AW200">
        <v>115.572067260742</v>
      </c>
      <c r="AX200">
        <v>116.59677886962901</v>
      </c>
      <c r="AY200">
        <v>114.910606384277</v>
      </c>
      <c r="AZ200">
        <v>113.68161773681599</v>
      </c>
      <c r="BA200">
        <v>112.590606689453</v>
      </c>
      <c r="BB200">
        <v>111.87123870849599</v>
      </c>
      <c r="BC200">
        <v>112.19942917109501</v>
      </c>
      <c r="BD200">
        <v>111.292626449933</v>
      </c>
      <c r="BE200">
        <v>115.087921142578</v>
      </c>
      <c r="BI200">
        <v>100.612358093262</v>
      </c>
      <c r="BM200">
        <v>90.834290856789295</v>
      </c>
      <c r="BN200">
        <v>92.522003173828097</v>
      </c>
      <c r="BO200">
        <v>91.028641566938703</v>
      </c>
      <c r="BP200">
        <v>90.353268684358895</v>
      </c>
      <c r="BQ200">
        <v>89.438641738679294</v>
      </c>
    </row>
    <row r="201" spans="1:69" x14ac:dyDescent="0.3">
      <c r="A201" t="s">
        <v>249</v>
      </c>
      <c r="B201" t="s">
        <v>473</v>
      </c>
      <c r="C201" t="s">
        <v>544</v>
      </c>
      <c r="D201" t="s">
        <v>545</v>
      </c>
      <c r="AN201">
        <v>87.422821044921903</v>
      </c>
      <c r="AO201">
        <v>89.202239990234403</v>
      </c>
      <c r="AP201">
        <v>91.342048645019503</v>
      </c>
      <c r="AR201">
        <v>95.123001098632798</v>
      </c>
      <c r="AS201">
        <v>97.334457397460895</v>
      </c>
      <c r="AT201">
        <v>97.689598083496094</v>
      </c>
      <c r="AU201">
        <v>97.254249572753906</v>
      </c>
      <c r="AV201">
        <v>96.563743591308594</v>
      </c>
      <c r="AW201">
        <v>93.622703552246094</v>
      </c>
      <c r="AX201">
        <v>92.991157531738295</v>
      </c>
      <c r="AY201">
        <v>91.143928527832003</v>
      </c>
      <c r="AZ201">
        <v>90.843826293945298</v>
      </c>
      <c r="BA201">
        <v>91.215042114257798</v>
      </c>
      <c r="BB201">
        <v>91.487091064453097</v>
      </c>
      <c r="BC201">
        <v>92.495075237513603</v>
      </c>
      <c r="BD201">
        <v>93.221537345902803</v>
      </c>
      <c r="BE201">
        <v>94.706130624987395</v>
      </c>
      <c r="BF201">
        <v>94.772640697216104</v>
      </c>
      <c r="BG201">
        <v>96.059501505556597</v>
      </c>
      <c r="BH201">
        <v>96.370650089053299</v>
      </c>
      <c r="BI201">
        <v>96.506984979825404</v>
      </c>
      <c r="BJ201">
        <v>97.573562938714403</v>
      </c>
      <c r="BK201">
        <v>96.558053427112299</v>
      </c>
      <c r="BL201">
        <v>95.616657624483906</v>
      </c>
      <c r="BM201">
        <v>94.653084809437999</v>
      </c>
      <c r="BN201">
        <v>92.702990938681495</v>
      </c>
      <c r="BO201">
        <v>91.451637200505999</v>
      </c>
      <c r="BP201">
        <v>91.442236115330601</v>
      </c>
    </row>
    <row r="202" spans="1:69" x14ac:dyDescent="0.3">
      <c r="A202" t="s">
        <v>609</v>
      </c>
      <c r="B202" t="s">
        <v>610</v>
      </c>
      <c r="C202" t="s">
        <v>544</v>
      </c>
      <c r="D202" t="s">
        <v>545</v>
      </c>
      <c r="O202">
        <v>101.472900390625</v>
      </c>
      <c r="P202">
        <v>103.275062561035</v>
      </c>
      <c r="Q202">
        <v>104.943878173828</v>
      </c>
      <c r="R202">
        <v>105.37624359130901</v>
      </c>
      <c r="S202">
        <v>106.011688232422</v>
      </c>
      <c r="T202">
        <v>107.963623046875</v>
      </c>
      <c r="U202">
        <v>107.77976989746099</v>
      </c>
      <c r="V202">
        <v>107.31015777587901</v>
      </c>
      <c r="W202">
        <v>106.693328857422</v>
      </c>
      <c r="X202">
        <v>105.573028564453</v>
      </c>
      <c r="Y202">
        <v>104.680671691895</v>
      </c>
      <c r="Z202">
        <v>103.14199829101599</v>
      </c>
      <c r="AA202">
        <v>102.27841186523401</v>
      </c>
      <c r="AB202">
        <v>102.865730285645</v>
      </c>
      <c r="AC202">
        <v>104.104011535645</v>
      </c>
      <c r="AD202">
        <v>104.264686584473</v>
      </c>
      <c r="AE202">
        <v>104.06884765625</v>
      </c>
      <c r="AF202">
        <v>103.664031982422</v>
      </c>
      <c r="AG202">
        <v>103.69016265869099</v>
      </c>
      <c r="AH202">
        <v>103.706092834473</v>
      </c>
      <c r="AI202">
        <v>102.820106506348</v>
      </c>
      <c r="AJ202">
        <v>102.126602172852</v>
      </c>
      <c r="AK202">
        <v>102.77545928955099</v>
      </c>
      <c r="AL202">
        <v>104.67121887207</v>
      </c>
      <c r="AM202">
        <v>104.889678955078</v>
      </c>
      <c r="AN202">
        <v>104.69808959960901</v>
      </c>
      <c r="AO202">
        <v>100.600257873535</v>
      </c>
      <c r="AP202">
        <v>103.779083251953</v>
      </c>
      <c r="AQ202">
        <v>102.25026702880901</v>
      </c>
      <c r="AR202">
        <v>99.313133239746094</v>
      </c>
      <c r="AS202">
        <v>98.782371520996094</v>
      </c>
      <c r="AT202">
        <v>100.997421264648</v>
      </c>
      <c r="AU202">
        <v>101.98998260498</v>
      </c>
      <c r="AV202">
        <v>102.98796844482401</v>
      </c>
      <c r="AW202">
        <v>103.43653869628901</v>
      </c>
      <c r="AX202">
        <v>103.49813842773401</v>
      </c>
      <c r="AY202">
        <v>103.797500610352</v>
      </c>
      <c r="AZ202">
        <v>102.394943237305</v>
      </c>
      <c r="BA202">
        <v>103.407333374023</v>
      </c>
      <c r="BB202">
        <v>103.76178741455099</v>
      </c>
      <c r="BC202">
        <v>106.137832641602</v>
      </c>
      <c r="BD202">
        <v>106.08197021484401</v>
      </c>
      <c r="BE202">
        <v>105.528106689453</v>
      </c>
      <c r="BF202">
        <v>106.322830200195</v>
      </c>
      <c r="BG202">
        <v>106.41139221191401</v>
      </c>
      <c r="BH202">
        <v>106.393798828125</v>
      </c>
      <c r="BI202">
        <v>107.16681671142599</v>
      </c>
      <c r="BJ202">
        <v>107.932502746582</v>
      </c>
      <c r="BK202">
        <v>107.436729431152</v>
      </c>
      <c r="BL202">
        <v>108.226936340332</v>
      </c>
      <c r="BM202">
        <v>105.581703186035</v>
      </c>
      <c r="BN202">
        <v>103.90096282959</v>
      </c>
      <c r="BO202">
        <v>101.287757873535</v>
      </c>
      <c r="BP202">
        <v>98.535217285156193</v>
      </c>
      <c r="BQ202">
        <v>97.758811950683594</v>
      </c>
    </row>
    <row r="203" spans="1:69" x14ac:dyDescent="0.3">
      <c r="A203" t="s">
        <v>611</v>
      </c>
      <c r="B203" t="s">
        <v>612</v>
      </c>
      <c r="C203" t="s">
        <v>544</v>
      </c>
      <c r="D203" t="s">
        <v>545</v>
      </c>
      <c r="AR203">
        <v>102.543533325195</v>
      </c>
      <c r="AS203">
        <v>102.126586914062</v>
      </c>
      <c r="AT203">
        <v>102.15802764892599</v>
      </c>
      <c r="AU203">
        <v>102.05859375</v>
      </c>
      <c r="AV203">
        <v>101.648330688477</v>
      </c>
      <c r="AW203">
        <v>102.15876007080099</v>
      </c>
      <c r="AX203">
        <v>102.84153747558599</v>
      </c>
      <c r="AY203">
        <v>102.72825622558599</v>
      </c>
      <c r="AZ203">
        <v>102.822563171387</v>
      </c>
      <c r="BA203">
        <v>103.070198059082</v>
      </c>
      <c r="BB203">
        <v>102.5283203125</v>
      </c>
      <c r="BC203">
        <v>102.038543701172</v>
      </c>
      <c r="BD203">
        <v>101.620330810547</v>
      </c>
      <c r="BE203">
        <v>101.388290405273</v>
      </c>
      <c r="BF203">
        <v>101.338790893555</v>
      </c>
      <c r="BG203">
        <v>100.858261108398</v>
      </c>
      <c r="BH203">
        <v>100.83820343017599</v>
      </c>
      <c r="BI203">
        <v>101.038818359375</v>
      </c>
      <c r="BJ203">
        <v>101.36009216308599</v>
      </c>
      <c r="BK203">
        <v>101.205238342285</v>
      </c>
      <c r="BL203">
        <v>101.21063232421901</v>
      </c>
      <c r="BM203">
        <v>100.949989318848</v>
      </c>
      <c r="BN203">
        <v>99.970550537109403</v>
      </c>
      <c r="BO203">
        <v>99.448768615722699</v>
      </c>
      <c r="BP203">
        <v>99.648628234863295</v>
      </c>
      <c r="BQ203">
        <v>99.344551086425795</v>
      </c>
    </row>
    <row r="204" spans="1:69" x14ac:dyDescent="0.3">
      <c r="A204" t="s">
        <v>107</v>
      </c>
      <c r="B204" t="s">
        <v>325</v>
      </c>
      <c r="C204" t="s">
        <v>544</v>
      </c>
      <c r="D204" t="s">
        <v>545</v>
      </c>
      <c r="Z204">
        <v>115.679763793945</v>
      </c>
      <c r="AA204">
        <v>113.44333648681599</v>
      </c>
      <c r="AB204">
        <v>113.351081848145</v>
      </c>
      <c r="AC204">
        <v>106.40469360351599</v>
      </c>
      <c r="AD204">
        <v>104.444442749023</v>
      </c>
      <c r="AG204">
        <v>118.42986297607401</v>
      </c>
      <c r="AH204">
        <v>115.752876281738</v>
      </c>
      <c r="AI204">
        <v>114.82398223877</v>
      </c>
      <c r="AJ204">
        <v>114.346961975098</v>
      </c>
      <c r="AK204">
        <v>112.330680847168</v>
      </c>
      <c r="AL204">
        <v>114.180450439453</v>
      </c>
      <c r="AM204">
        <v>113.55354309082</v>
      </c>
      <c r="AN204">
        <v>112.650016784668</v>
      </c>
      <c r="AO204">
        <v>108.14337921142599</v>
      </c>
    </row>
    <row r="205" spans="1:69" x14ac:dyDescent="0.3">
      <c r="A205" t="s">
        <v>196</v>
      </c>
      <c r="B205" t="s">
        <v>416</v>
      </c>
      <c r="C205" t="s">
        <v>544</v>
      </c>
      <c r="D205" t="s">
        <v>545</v>
      </c>
      <c r="AT205">
        <v>94.3836669921875</v>
      </c>
      <c r="AU205">
        <v>95.147491455078097</v>
      </c>
      <c r="AV205">
        <v>96.906478881835895</v>
      </c>
      <c r="AW205">
        <v>93.367912292480497</v>
      </c>
      <c r="AX205">
        <v>96.101882934570298</v>
      </c>
      <c r="AY205">
        <v>94.612220764160199</v>
      </c>
      <c r="AZ205">
        <v>98.263961791992202</v>
      </c>
      <c r="BA205">
        <v>98.570457458496094</v>
      </c>
      <c r="BB205">
        <v>103.21176147460901</v>
      </c>
      <c r="BC205">
        <v>103.01295745866599</v>
      </c>
      <c r="BD205">
        <v>99.263245898213</v>
      </c>
      <c r="BE205">
        <v>102.537557878561</v>
      </c>
      <c r="BF205">
        <v>100.07084360565599</v>
      </c>
      <c r="BG205">
        <v>97.982774252039903</v>
      </c>
      <c r="BH205">
        <v>101.07325995872699</v>
      </c>
      <c r="BI205">
        <v>103.68811714668</v>
      </c>
      <c r="BJ205">
        <v>106.121974267646</v>
      </c>
      <c r="BK205">
        <v>107.08342922498601</v>
      </c>
      <c r="BL205">
        <v>102.273940498665</v>
      </c>
      <c r="BM205">
        <v>100.98497277133499</v>
      </c>
      <c r="BN205">
        <v>89.569406104145202</v>
      </c>
      <c r="BO205">
        <v>94.197127900154399</v>
      </c>
    </row>
    <row r="206" spans="1:69" x14ac:dyDescent="0.3">
      <c r="A206" t="s">
        <v>197</v>
      </c>
      <c r="B206" t="s">
        <v>417</v>
      </c>
      <c r="C206" t="s">
        <v>544</v>
      </c>
      <c r="D206" t="s">
        <v>545</v>
      </c>
      <c r="AS206">
        <v>104.28695678710901</v>
      </c>
      <c r="AT206">
        <v>105.790283203125</v>
      </c>
      <c r="AU206">
        <v>105.530220031738</v>
      </c>
      <c r="AV206">
        <v>102.830619812012</v>
      </c>
      <c r="AW206">
        <v>105.12233734130901</v>
      </c>
      <c r="AX206">
        <v>102.18784332275401</v>
      </c>
      <c r="AY206">
        <v>101.634002685547</v>
      </c>
      <c r="AZ206">
        <v>100.085487365723</v>
      </c>
      <c r="BA206">
        <v>98.580947875976605</v>
      </c>
      <c r="BB206">
        <v>100.860786437988</v>
      </c>
      <c r="BC206">
        <v>99.9739990234375</v>
      </c>
      <c r="BD206">
        <v>98.379051208496094</v>
      </c>
      <c r="BE206">
        <v>96.241546630859403</v>
      </c>
      <c r="BH206">
        <v>89.053413391113295</v>
      </c>
      <c r="BI206">
        <v>87.589591979980497</v>
      </c>
      <c r="BJ206">
        <v>87.272399902343807</v>
      </c>
      <c r="BK206">
        <v>91.3751220703125</v>
      </c>
      <c r="BL206">
        <v>92.613998413085895</v>
      </c>
      <c r="BM206">
        <v>91.904739379882798</v>
      </c>
      <c r="BN206">
        <v>90.773170471191406</v>
      </c>
      <c r="BO206">
        <v>84.881278991699205</v>
      </c>
      <c r="BP206">
        <v>84.946662902832003</v>
      </c>
    </row>
    <row r="207" spans="1:69" x14ac:dyDescent="0.3">
      <c r="A207" t="s">
        <v>198</v>
      </c>
      <c r="B207" t="s">
        <v>418</v>
      </c>
      <c r="C207" t="s">
        <v>544</v>
      </c>
      <c r="D207" t="s">
        <v>545</v>
      </c>
      <c r="AS207">
        <v>110.80979919433599</v>
      </c>
      <c r="AT207">
        <v>115.666496276855</v>
      </c>
      <c r="AU207">
        <v>122.04638671875</v>
      </c>
      <c r="AV207">
        <v>126.57463836669901</v>
      </c>
      <c r="AX207">
        <v>96.793792724609403</v>
      </c>
      <c r="AY207">
        <v>96.528083801269503</v>
      </c>
      <c r="AZ207">
        <v>96.105880737304702</v>
      </c>
      <c r="BA207">
        <v>95.322212219238295</v>
      </c>
      <c r="BB207">
        <v>95.519828796386705</v>
      </c>
      <c r="BD207">
        <v>96.133405106655005</v>
      </c>
      <c r="BE207">
        <v>97.262229693837</v>
      </c>
      <c r="BF207">
        <v>96.948414872583598</v>
      </c>
      <c r="BG207">
        <v>97.496271217957599</v>
      </c>
      <c r="BH207">
        <v>98.382776010316903</v>
      </c>
      <c r="BI207">
        <v>98.334130736464203</v>
      </c>
      <c r="BJ207">
        <v>100.767602587422</v>
      </c>
      <c r="BK207">
        <v>102.01836443796201</v>
      </c>
      <c r="BL207">
        <v>101.832335105065</v>
      </c>
      <c r="BM207">
        <v>101.731047648404</v>
      </c>
      <c r="BN207">
        <v>100.890349270112</v>
      </c>
      <c r="BO207">
        <v>100.122558846483</v>
      </c>
      <c r="BP207">
        <v>97.746204147601304</v>
      </c>
    </row>
    <row r="208" spans="1:69" x14ac:dyDescent="0.3">
      <c r="A208" t="s">
        <v>199</v>
      </c>
      <c r="B208" t="s">
        <v>419</v>
      </c>
      <c r="C208" t="s">
        <v>544</v>
      </c>
      <c r="D208" t="s">
        <v>545</v>
      </c>
      <c r="AT208">
        <v>121.94496917724599</v>
      </c>
      <c r="AU208">
        <v>123.550239562988</v>
      </c>
      <c r="AV208">
        <v>123.162269592285</v>
      </c>
      <c r="AW208">
        <v>131.43446350097699</v>
      </c>
      <c r="AX208">
        <v>138.09165954589801</v>
      </c>
      <c r="AY208">
        <v>148.04748535156199</v>
      </c>
      <c r="AZ208">
        <v>154.81600952148401</v>
      </c>
      <c r="BA208">
        <v>154.72456359863301</v>
      </c>
      <c r="BB208">
        <v>156.6142578125</v>
      </c>
      <c r="BC208">
        <v>155.31578876264899</v>
      </c>
      <c r="BD208">
        <v>154.12963989503299</v>
      </c>
      <c r="BE208">
        <v>153.371821344578</v>
      </c>
      <c r="BF208">
        <v>123.70600355437401</v>
      </c>
      <c r="BG208">
        <v>138.315807313314</v>
      </c>
      <c r="BH208">
        <v>137.243191055886</v>
      </c>
      <c r="BI208">
        <v>140.62002275312901</v>
      </c>
      <c r="BJ208">
        <v>139.30994696582101</v>
      </c>
      <c r="BK208">
        <v>137.129353849659</v>
      </c>
      <c r="BL208">
        <v>138.020075127914</v>
      </c>
      <c r="BN208">
        <v>151.06357186783401</v>
      </c>
      <c r="BO208">
        <v>148.75248209986299</v>
      </c>
      <c r="BP208">
        <v>151.894816720753</v>
      </c>
      <c r="BQ208">
        <v>149.57218314938899</v>
      </c>
    </row>
    <row r="209" spans="1:69" x14ac:dyDescent="0.3">
      <c r="A209" t="s">
        <v>22</v>
      </c>
      <c r="B209" t="s">
        <v>613</v>
      </c>
      <c r="C209" t="s">
        <v>544</v>
      </c>
      <c r="D209" t="s">
        <v>545</v>
      </c>
      <c r="AR209">
        <v>96.487052917480497</v>
      </c>
      <c r="AS209">
        <v>98.615661621093807</v>
      </c>
      <c r="AT209">
        <v>96.954742431640597</v>
      </c>
      <c r="AU209">
        <v>97.631263732910199</v>
      </c>
      <c r="AV209">
        <v>104.661209106445</v>
      </c>
      <c r="AW209">
        <v>106.247352600098</v>
      </c>
      <c r="AX209">
        <v>107.856147766113</v>
      </c>
      <c r="AY209">
        <v>109.75798797607401</v>
      </c>
      <c r="AZ209">
        <v>111.125106811523</v>
      </c>
      <c r="BA209">
        <v>111.084480285645</v>
      </c>
      <c r="BB209">
        <v>110.484977722168</v>
      </c>
      <c r="BC209">
        <v>110.696907043457</v>
      </c>
      <c r="BD209">
        <v>109.97849273681599</v>
      </c>
      <c r="BE209">
        <v>111.91184997558599</v>
      </c>
      <c r="BF209">
        <v>113.48536682128901</v>
      </c>
      <c r="BG209">
        <v>111.84026336669901</v>
      </c>
      <c r="BH209">
        <v>112.902671813965</v>
      </c>
      <c r="BI209">
        <v>118.426078796387</v>
      </c>
      <c r="BJ209">
        <v>117.016357421875</v>
      </c>
      <c r="BK209">
        <v>102.81281280517599</v>
      </c>
      <c r="BL209">
        <v>101.631233215332</v>
      </c>
      <c r="BM209">
        <v>103.28058624267599</v>
      </c>
      <c r="BN209">
        <v>104.27928161621099</v>
      </c>
      <c r="BO209">
        <v>111.83274078369099</v>
      </c>
      <c r="BP209">
        <v>112.759391784668</v>
      </c>
      <c r="BQ209">
        <v>119.026802062988</v>
      </c>
    </row>
    <row r="210" spans="1:69" x14ac:dyDescent="0.3">
      <c r="A210" t="s">
        <v>203</v>
      </c>
      <c r="B210" t="s">
        <v>423</v>
      </c>
      <c r="C210" t="s">
        <v>544</v>
      </c>
      <c r="D210" t="s">
        <v>545</v>
      </c>
      <c r="X210">
        <v>91.875473022460895</v>
      </c>
      <c r="AX210">
        <v>115.50853729248</v>
      </c>
      <c r="AZ210">
        <v>120.881187438965</v>
      </c>
      <c r="BA210">
        <v>123.49730682373</v>
      </c>
      <c r="BB210">
        <v>125.763481140137</v>
      </c>
      <c r="BC210">
        <v>128.08613573235201</v>
      </c>
      <c r="BD210">
        <v>128.024230557425</v>
      </c>
      <c r="BE210">
        <v>129.34800120454699</v>
      </c>
      <c r="BF210">
        <v>99.378471099311298</v>
      </c>
      <c r="BG210">
        <v>100.76776748659999</v>
      </c>
      <c r="BH210">
        <v>101.594836340679</v>
      </c>
      <c r="BI210">
        <v>103.42068748908</v>
      </c>
      <c r="BJ210">
        <v>106.38154652714699</v>
      </c>
      <c r="BK210">
        <v>105.80186450639</v>
      </c>
      <c r="BL210">
        <v>102.737519761619</v>
      </c>
      <c r="BM210">
        <v>103.151902576284</v>
      </c>
      <c r="BN210">
        <v>100.89557992908701</v>
      </c>
      <c r="BO210">
        <v>102.13902539092</v>
      </c>
      <c r="BQ210">
        <v>103.984471859469</v>
      </c>
    </row>
    <row r="211" spans="1:69" x14ac:dyDescent="0.3">
      <c r="A211" t="s">
        <v>221</v>
      </c>
      <c r="B211" t="s">
        <v>443</v>
      </c>
      <c r="C211" t="s">
        <v>544</v>
      </c>
      <c r="D211" t="s">
        <v>545</v>
      </c>
      <c r="AT211">
        <v>54.920738220214801</v>
      </c>
      <c r="AU211">
        <v>55.170108795166001</v>
      </c>
      <c r="AV211">
        <v>56.535831451416001</v>
      </c>
      <c r="AW211">
        <v>58.059200286865199</v>
      </c>
      <c r="AX211">
        <v>59.396209716796903</v>
      </c>
      <c r="AY211">
        <v>63.751518249511697</v>
      </c>
      <c r="AZ211">
        <v>63.535499572753899</v>
      </c>
      <c r="BA211">
        <v>68.942459106445298</v>
      </c>
      <c r="BB211">
        <v>68.234336853027301</v>
      </c>
      <c r="BC211">
        <v>67.339782714843807</v>
      </c>
      <c r="BD211">
        <v>64.976181030273395</v>
      </c>
      <c r="BE211">
        <v>66.060539245605497</v>
      </c>
      <c r="BF211">
        <v>66.95703125</v>
      </c>
      <c r="BG211">
        <v>67.05712890625</v>
      </c>
      <c r="BH211">
        <v>67.664970397949205</v>
      </c>
      <c r="BI211">
        <v>69.855079650878906</v>
      </c>
      <c r="BJ211">
        <v>70.366477966308594</v>
      </c>
      <c r="BK211">
        <v>72.031768798828097</v>
      </c>
      <c r="BL211">
        <v>72.398109436035199</v>
      </c>
    </row>
    <row r="212" spans="1:69" x14ac:dyDescent="0.3">
      <c r="A212" t="s">
        <v>204</v>
      </c>
      <c r="B212" t="s">
        <v>424</v>
      </c>
      <c r="C212" t="s">
        <v>544</v>
      </c>
      <c r="D212" t="s">
        <v>545</v>
      </c>
      <c r="P212">
        <v>36.672519683837898</v>
      </c>
      <c r="Q212">
        <v>36.598941802978501</v>
      </c>
      <c r="R212">
        <v>37.283210754394503</v>
      </c>
      <c r="S212">
        <v>37.988868713378899</v>
      </c>
      <c r="T212">
        <v>38.178859710693402</v>
      </c>
      <c r="U212">
        <v>37.3591499328613</v>
      </c>
      <c r="V212">
        <v>40.037509918212898</v>
      </c>
      <c r="W212">
        <v>38.741771697997997</v>
      </c>
      <c r="X212">
        <v>39.943580627441399</v>
      </c>
      <c r="Y212">
        <v>40.806541442871101</v>
      </c>
      <c r="Z212">
        <v>42.030529022216797</v>
      </c>
      <c r="AA212">
        <v>43.633689880371101</v>
      </c>
      <c r="AB212">
        <v>46.023399353027301</v>
      </c>
      <c r="AC212">
        <v>47.668170928955099</v>
      </c>
      <c r="AD212">
        <v>48.884231567382798</v>
      </c>
      <c r="AE212">
        <v>50.493568420410199</v>
      </c>
      <c r="AF212">
        <v>51.035079956054702</v>
      </c>
      <c r="AG212">
        <v>51.883251190185497</v>
      </c>
      <c r="AH212">
        <v>51.533390045166001</v>
      </c>
      <c r="AI212">
        <v>51.937168121337898</v>
      </c>
      <c r="AJ212">
        <v>52.398990631103501</v>
      </c>
      <c r="AK212">
        <v>52.2593803405762</v>
      </c>
      <c r="AL212">
        <v>51.878219604492202</v>
      </c>
      <c r="AM212">
        <v>53.115970611572301</v>
      </c>
      <c r="AN212">
        <v>54.176048278808601</v>
      </c>
      <c r="AO212">
        <v>57.844608306884801</v>
      </c>
      <c r="AP212">
        <v>62.002548217773402</v>
      </c>
      <c r="AQ212">
        <v>65.535346984863295</v>
      </c>
      <c r="AR212">
        <v>64.968162536621094</v>
      </c>
      <c r="AS212">
        <v>68.490631103515597</v>
      </c>
      <c r="AT212">
        <v>70.566848754882798</v>
      </c>
      <c r="AU212">
        <v>71.613487243652301</v>
      </c>
      <c r="AV212">
        <v>75.917976379394503</v>
      </c>
      <c r="AW212">
        <v>78.717346191406193</v>
      </c>
      <c r="AX212">
        <v>80.667961120605497</v>
      </c>
      <c r="AY212">
        <v>80.498992919921903</v>
      </c>
      <c r="AZ212">
        <v>83.903816223144503</v>
      </c>
      <c r="BA212">
        <v>84.409233093261705</v>
      </c>
      <c r="BB212">
        <v>84.006317138671903</v>
      </c>
      <c r="BC212">
        <v>83.854905392763399</v>
      </c>
      <c r="BD212">
        <v>86.572448730468807</v>
      </c>
      <c r="BE212">
        <v>86.411560058593807</v>
      </c>
      <c r="BF212">
        <v>82.698543649072207</v>
      </c>
      <c r="BG212">
        <v>83.684456389355205</v>
      </c>
      <c r="BH212">
        <v>84.897079467773395</v>
      </c>
      <c r="BL212">
        <v>83.256872821277895</v>
      </c>
      <c r="BM212">
        <v>84.903129147737104</v>
      </c>
      <c r="BN212">
        <v>84.061227641773598</v>
      </c>
      <c r="BO212">
        <v>84.273319827358407</v>
      </c>
      <c r="BP212">
        <v>85.452365859643393</v>
      </c>
      <c r="BQ212">
        <v>85.327966956633503</v>
      </c>
    </row>
    <row r="213" spans="1:69" x14ac:dyDescent="0.3">
      <c r="A213" t="s">
        <v>208</v>
      </c>
      <c r="B213" t="s">
        <v>428</v>
      </c>
      <c r="C213" t="s">
        <v>544</v>
      </c>
      <c r="D213" t="s">
        <v>545</v>
      </c>
      <c r="BI213">
        <v>100.773205741627</v>
      </c>
      <c r="BJ213">
        <v>100.626953870432</v>
      </c>
      <c r="BK213">
        <v>100.26186663690299</v>
      </c>
      <c r="BL213">
        <v>100.69257835435501</v>
      </c>
      <c r="BM213">
        <v>100.53590938338</v>
      </c>
      <c r="BN213">
        <v>99.874645040804296</v>
      </c>
      <c r="BO213">
        <v>99.578037663732403</v>
      </c>
      <c r="BP213">
        <v>100.245139192048</v>
      </c>
    </row>
    <row r="214" spans="1:69" x14ac:dyDescent="0.3">
      <c r="A214" t="s">
        <v>212</v>
      </c>
      <c r="B214" t="s">
        <v>432</v>
      </c>
      <c r="C214" t="s">
        <v>544</v>
      </c>
      <c r="D214" t="s">
        <v>545</v>
      </c>
      <c r="O214">
        <v>63.382801055908203</v>
      </c>
      <c r="P214">
        <v>73.338188171386705</v>
      </c>
      <c r="Q214">
        <v>73.180496215820298</v>
      </c>
      <c r="R214">
        <v>71.406120300292997</v>
      </c>
      <c r="S214">
        <v>71.601478576660199</v>
      </c>
      <c r="T214">
        <v>75.371261596679702</v>
      </c>
      <c r="U214">
        <v>79.656272888183594</v>
      </c>
      <c r="V214">
        <v>74.386222839355497</v>
      </c>
      <c r="W214">
        <v>72.086128234863295</v>
      </c>
      <c r="X214">
        <v>69.478652954101605</v>
      </c>
      <c r="Y214">
        <v>70.984237670898395</v>
      </c>
      <c r="Z214">
        <v>68.524238586425795</v>
      </c>
      <c r="AA214">
        <v>68.269187927246094</v>
      </c>
      <c r="AB214">
        <v>74.355430603027301</v>
      </c>
      <c r="AC214">
        <v>76.719558715820298</v>
      </c>
      <c r="AD214">
        <v>74.623176574707003</v>
      </c>
      <c r="AE214">
        <v>74.741653442382798</v>
      </c>
      <c r="AF214">
        <v>78.852767944335895</v>
      </c>
      <c r="AI214">
        <v>84.428047180175795</v>
      </c>
      <c r="AJ214">
        <v>84.970611572265597</v>
      </c>
      <c r="AK214">
        <v>90.247451782226605</v>
      </c>
      <c r="AL214">
        <v>94.615272521972699</v>
      </c>
      <c r="AM214">
        <v>97.138496398925795</v>
      </c>
      <c r="AN214">
        <v>99.743583679199205</v>
      </c>
      <c r="AO214">
        <v>85.295188903808594</v>
      </c>
      <c r="AP214">
        <v>99.501296997070298</v>
      </c>
      <c r="AR214">
        <v>82.689811706542997</v>
      </c>
      <c r="AS214">
        <v>80.152023315429702</v>
      </c>
      <c r="AU214">
        <v>90.863121032714801</v>
      </c>
      <c r="AX214">
        <v>98.355972290039105</v>
      </c>
      <c r="AY214">
        <v>104.057861328125</v>
      </c>
      <c r="AZ214">
        <v>105.483810424805</v>
      </c>
      <c r="BC214">
        <v>114.76098353334901</v>
      </c>
      <c r="BD214">
        <v>114.16430775634601</v>
      </c>
      <c r="BE214">
        <v>110.128024198969</v>
      </c>
      <c r="BF214">
        <v>110.310354621437</v>
      </c>
      <c r="BG214">
        <v>108.983168803493</v>
      </c>
      <c r="BH214">
        <v>108.53733598305</v>
      </c>
      <c r="BI214">
        <v>108.672249064372</v>
      </c>
      <c r="BJ214">
        <v>106.573590544667</v>
      </c>
      <c r="BK214">
        <v>100.189113095468</v>
      </c>
      <c r="BL214">
        <v>98.206722577718907</v>
      </c>
      <c r="BM214">
        <v>89.600798676294204</v>
      </c>
      <c r="BP214">
        <v>80.254479101583499</v>
      </c>
      <c r="BQ214">
        <v>81.844575959610296</v>
      </c>
    </row>
    <row r="215" spans="1:69" x14ac:dyDescent="0.3">
      <c r="A215" t="s">
        <v>207</v>
      </c>
      <c r="B215" t="s">
        <v>427</v>
      </c>
      <c r="C215" t="s">
        <v>544</v>
      </c>
      <c r="D215" t="s">
        <v>545</v>
      </c>
      <c r="P215">
        <v>34.821151733398402</v>
      </c>
      <c r="Q215">
        <v>36.091400146484403</v>
      </c>
      <c r="R215">
        <v>33.725109100341797</v>
      </c>
      <c r="S215">
        <v>35.374038696289098</v>
      </c>
      <c r="T215">
        <v>36.435379028320298</v>
      </c>
      <c r="U215">
        <v>38.288318634033203</v>
      </c>
      <c r="V215">
        <v>39.765598297119098</v>
      </c>
      <c r="W215">
        <v>40.569831848144503</v>
      </c>
      <c r="Y215">
        <v>51.8843994140625</v>
      </c>
      <c r="Z215">
        <v>52.334800720214801</v>
      </c>
      <c r="AA215">
        <v>56.2086791992188</v>
      </c>
      <c r="AB215">
        <v>55.388759613037102</v>
      </c>
      <c r="AC215">
        <v>58.831939697265597</v>
      </c>
      <c r="AD215">
        <v>62.505771636962898</v>
      </c>
      <c r="AE215">
        <v>61.768470764160199</v>
      </c>
      <c r="AG215">
        <v>58.354660034179702</v>
      </c>
      <c r="AH215">
        <v>53.055679321289098</v>
      </c>
      <c r="AI215">
        <v>51.132049560546903</v>
      </c>
      <c r="AJ215">
        <v>45.331741333007798</v>
      </c>
      <c r="AS215">
        <v>63.250080108642599</v>
      </c>
      <c r="AT215">
        <v>75.623893737792997</v>
      </c>
      <c r="BD215">
        <v>114.580513591833</v>
      </c>
      <c r="BE215">
        <v>117.716124289972</v>
      </c>
      <c r="BF215">
        <v>119.788073464671</v>
      </c>
      <c r="BH215">
        <v>120.700737828928</v>
      </c>
      <c r="BI215">
        <v>123.03165757627001</v>
      </c>
      <c r="BJ215">
        <v>126.86391814851299</v>
      </c>
      <c r="BK215">
        <v>114.58023823864001</v>
      </c>
      <c r="BL215">
        <v>145.61749547199099</v>
      </c>
      <c r="BM215">
        <v>142.79212464763901</v>
      </c>
      <c r="BN215">
        <v>157.70975757600101</v>
      </c>
      <c r="BO215">
        <v>163.17355466705499</v>
      </c>
      <c r="BP215">
        <v>159.416853770084</v>
      </c>
      <c r="BQ215">
        <v>162.123997594776</v>
      </c>
    </row>
    <row r="216" spans="1:69" x14ac:dyDescent="0.3">
      <c r="A216" t="s">
        <v>97</v>
      </c>
      <c r="B216" t="s">
        <v>315</v>
      </c>
      <c r="C216" t="s">
        <v>544</v>
      </c>
      <c r="D216" t="s">
        <v>545</v>
      </c>
      <c r="O216">
        <v>83.287879943847699</v>
      </c>
      <c r="P216">
        <v>84.097198486328097</v>
      </c>
      <c r="Q216">
        <v>82.207412719726605</v>
      </c>
      <c r="R216">
        <v>86.427047729492202</v>
      </c>
      <c r="S216">
        <v>87.784080505371094</v>
      </c>
      <c r="T216">
        <v>89.707786560058594</v>
      </c>
      <c r="U216">
        <v>92.036430358886705</v>
      </c>
      <c r="V216">
        <v>94.052841186523395</v>
      </c>
      <c r="W216">
        <v>97.508941650390597</v>
      </c>
      <c r="X216">
        <v>101.17823791503901</v>
      </c>
      <c r="Y216">
        <v>93.549797058105497</v>
      </c>
      <c r="Z216">
        <v>78.608840942382798</v>
      </c>
      <c r="AA216">
        <v>89.764816284179702</v>
      </c>
      <c r="AB216">
        <v>93.274360656738295</v>
      </c>
      <c r="AC216">
        <v>95.461563110351605</v>
      </c>
      <c r="AF216">
        <v>103.91970062255901</v>
      </c>
      <c r="AG216">
        <v>104.021438598633</v>
      </c>
      <c r="AH216">
        <v>99.333633422851605</v>
      </c>
      <c r="AJ216">
        <v>92.809150695800795</v>
      </c>
      <c r="AK216">
        <v>93.684371948242202</v>
      </c>
      <c r="AL216">
        <v>93.125450134277301</v>
      </c>
      <c r="AN216">
        <v>95.116386413574205</v>
      </c>
      <c r="AO216">
        <v>102.78392028808599</v>
      </c>
      <c r="AP216">
        <v>72.709732055664105</v>
      </c>
      <c r="AQ216">
        <v>105.382110595703</v>
      </c>
      <c r="AR216">
        <v>106.646896362305</v>
      </c>
      <c r="AS216">
        <v>107.374649047852</v>
      </c>
      <c r="AT216">
        <v>109.26634979248</v>
      </c>
      <c r="AU216">
        <v>111.444900512695</v>
      </c>
      <c r="AV216">
        <v>114.588432312012</v>
      </c>
      <c r="AW216">
        <v>117.880020141602</v>
      </c>
      <c r="AX216">
        <v>117.893600463867</v>
      </c>
      <c r="AY216">
        <v>116.765838623047</v>
      </c>
      <c r="AZ216">
        <v>121.694122314453</v>
      </c>
      <c r="BA216">
        <v>113.391387939453</v>
      </c>
      <c r="BB216">
        <v>111.72328948974599</v>
      </c>
      <c r="BC216">
        <v>111.703523728467</v>
      </c>
      <c r="BD216">
        <v>110.558314695839</v>
      </c>
      <c r="BE216">
        <v>109.43995840877901</v>
      </c>
      <c r="BF216">
        <v>107.756009020989</v>
      </c>
      <c r="BG216">
        <v>106.234750251213</v>
      </c>
      <c r="BH216">
        <v>104.056527416248</v>
      </c>
      <c r="BI216">
        <v>101.843930228579</v>
      </c>
      <c r="BJ216">
        <v>98.313846368788305</v>
      </c>
      <c r="BK216">
        <v>96.801494834029498</v>
      </c>
      <c r="BL216">
        <v>91.627409748246706</v>
      </c>
      <c r="BM216">
        <v>90.6579425663395</v>
      </c>
      <c r="BN216">
        <v>89.081877405981601</v>
      </c>
      <c r="BO216">
        <v>89.130408950204696</v>
      </c>
      <c r="BP216">
        <v>90.883721346918804</v>
      </c>
      <c r="BQ216">
        <v>89.880408258856093</v>
      </c>
    </row>
    <row r="217" spans="1:69" x14ac:dyDescent="0.3">
      <c r="A217" t="s">
        <v>201</v>
      </c>
      <c r="B217" t="s">
        <v>421</v>
      </c>
      <c r="C217" t="s">
        <v>544</v>
      </c>
      <c r="D217" t="s">
        <v>545</v>
      </c>
      <c r="AW217">
        <v>98.232490539550795</v>
      </c>
      <c r="BA217">
        <v>94.248046875</v>
      </c>
      <c r="BB217">
        <v>92.946060180664105</v>
      </c>
      <c r="BC217">
        <v>92.438452520515796</v>
      </c>
      <c r="BD217">
        <v>92.049469964664297</v>
      </c>
      <c r="BE217">
        <v>93.301719027860102</v>
      </c>
      <c r="BK217">
        <v>95.126050420168099</v>
      </c>
      <c r="BL217">
        <v>94.619347452776196</v>
      </c>
      <c r="BM217">
        <v>94.405182567726698</v>
      </c>
      <c r="BN217">
        <v>93.573573573573597</v>
      </c>
      <c r="BO217">
        <v>93.9375</v>
      </c>
      <c r="BP217">
        <v>95.120364346128795</v>
      </c>
      <c r="BQ217">
        <v>93.530997304582201</v>
      </c>
    </row>
    <row r="218" spans="1:69" x14ac:dyDescent="0.3">
      <c r="A218" t="s">
        <v>614</v>
      </c>
      <c r="B218" t="s">
        <v>433</v>
      </c>
      <c r="C218" t="s">
        <v>544</v>
      </c>
      <c r="D218" t="s">
        <v>545</v>
      </c>
      <c r="P218">
        <v>6.8872299194335902</v>
      </c>
      <c r="Q218">
        <v>8.0492897033691406</v>
      </c>
      <c r="R218">
        <v>10.4305200576782</v>
      </c>
      <c r="S218">
        <v>12.644370079040501</v>
      </c>
      <c r="U218">
        <v>28.1480903625488</v>
      </c>
      <c r="V218">
        <v>31.810340881347699</v>
      </c>
      <c r="W218">
        <v>30.8904209136963</v>
      </c>
      <c r="X218">
        <v>31.959129333496101</v>
      </c>
      <c r="Y218">
        <v>28.784709930419901</v>
      </c>
      <c r="Z218">
        <v>21.725080490112301</v>
      </c>
      <c r="AA218">
        <v>20.4068298339844</v>
      </c>
      <c r="AB218">
        <v>18.569450378418001</v>
      </c>
      <c r="AC218">
        <v>18.106000900268601</v>
      </c>
      <c r="AD218">
        <v>15.648039817810099</v>
      </c>
      <c r="AE218">
        <v>13.781029701232899</v>
      </c>
      <c r="AZ218">
        <v>22.7854194641113</v>
      </c>
      <c r="BP218">
        <v>20.915550231933601</v>
      </c>
    </row>
    <row r="219" spans="1:69" x14ac:dyDescent="0.3">
      <c r="A219" t="s">
        <v>205</v>
      </c>
      <c r="B219" t="s">
        <v>425</v>
      </c>
      <c r="C219" t="s">
        <v>544</v>
      </c>
      <c r="D219" t="s">
        <v>545</v>
      </c>
      <c r="AS219">
        <v>103.58666229248</v>
      </c>
      <c r="AT219">
        <v>102.52085113525401</v>
      </c>
      <c r="AU219">
        <v>102.119522094727</v>
      </c>
      <c r="AV219">
        <v>101.065238952637</v>
      </c>
      <c r="AW219">
        <v>101.55493927002</v>
      </c>
      <c r="AX219">
        <v>102.74709320068401</v>
      </c>
      <c r="AY219">
        <v>101.839546203613</v>
      </c>
      <c r="AZ219">
        <v>100.971687316895</v>
      </c>
      <c r="BA219">
        <v>100.62957763671901</v>
      </c>
      <c r="BB219">
        <v>97.685798645019503</v>
      </c>
      <c r="BC219">
        <v>95.895759582519503</v>
      </c>
      <c r="BD219">
        <v>101.493446350098</v>
      </c>
      <c r="BE219">
        <v>100.57131195068401</v>
      </c>
      <c r="BF219">
        <v>100.895538330078</v>
      </c>
      <c r="BG219">
        <v>101.131156921387</v>
      </c>
      <c r="BH219">
        <v>101.34291839599599</v>
      </c>
      <c r="BI219">
        <v>100.57127380371099</v>
      </c>
      <c r="BJ219">
        <v>100.31292724609401</v>
      </c>
      <c r="BK219">
        <v>100.30193328857401</v>
      </c>
      <c r="BL219">
        <v>99.644706726074205</v>
      </c>
      <c r="BM219">
        <v>97.705848693847699</v>
      </c>
      <c r="BN219">
        <v>96.811256408691406</v>
      </c>
      <c r="BO219">
        <v>96.627967834472699</v>
      </c>
    </row>
    <row r="220" spans="1:69" x14ac:dyDescent="0.3">
      <c r="A220" t="s">
        <v>615</v>
      </c>
      <c r="B220" t="s">
        <v>616</v>
      </c>
      <c r="C220" t="s">
        <v>544</v>
      </c>
      <c r="D220" t="s">
        <v>545</v>
      </c>
      <c r="O220">
        <v>54.9388618469238</v>
      </c>
      <c r="P220">
        <v>53.494209289550803</v>
      </c>
      <c r="Q220">
        <v>54.684520721435497</v>
      </c>
      <c r="R220">
        <v>55.938919067382798</v>
      </c>
      <c r="S220">
        <v>58.098339080810497</v>
      </c>
      <c r="T220">
        <v>59.654460906982401</v>
      </c>
      <c r="U220">
        <v>60.755809783935497</v>
      </c>
      <c r="V220">
        <v>64.012031555175795</v>
      </c>
      <c r="W220">
        <v>67.665573120117202</v>
      </c>
      <c r="X220">
        <v>72.017127990722699</v>
      </c>
      <c r="Y220">
        <v>75.061180114746094</v>
      </c>
      <c r="Z220">
        <v>77.625839233398395</v>
      </c>
      <c r="AA220">
        <v>79.722969055175795</v>
      </c>
      <c r="AB220">
        <v>79.624603271484403</v>
      </c>
      <c r="AC220">
        <v>78.761001586914105</v>
      </c>
      <c r="AD220">
        <v>76.356269836425795</v>
      </c>
      <c r="AE220">
        <v>73.704193115234403</v>
      </c>
      <c r="AF220">
        <v>72.172279357910199</v>
      </c>
      <c r="AG220">
        <v>71.223152160644503</v>
      </c>
      <c r="AH220">
        <v>71.930801391601605</v>
      </c>
      <c r="AI220">
        <v>71.117507934570298</v>
      </c>
      <c r="AJ220">
        <v>72.112548828125</v>
      </c>
      <c r="AK220">
        <v>72.010726928710895</v>
      </c>
      <c r="AL220">
        <v>73.3167724609375</v>
      </c>
      <c r="AM220">
        <v>73.473060607910199</v>
      </c>
      <c r="AN220">
        <v>74.006072998046903</v>
      </c>
      <c r="AO220">
        <v>72.037818908691406</v>
      </c>
      <c r="AP220">
        <v>75.376159667968807</v>
      </c>
      <c r="AQ220">
        <v>76.673233032226605</v>
      </c>
      <c r="AR220">
        <v>77.145027160644503</v>
      </c>
      <c r="AS220">
        <v>79.471488952636705</v>
      </c>
      <c r="AT220">
        <v>81.33837890625</v>
      </c>
      <c r="AU220">
        <v>83.487991333007798</v>
      </c>
      <c r="AV220">
        <v>85.976898193359403</v>
      </c>
      <c r="AW220">
        <v>87.994148254394503</v>
      </c>
      <c r="AX220">
        <v>90.330680847167997</v>
      </c>
      <c r="AY220">
        <v>92.080299377441406</v>
      </c>
      <c r="AZ220">
        <v>92.937530517578097</v>
      </c>
      <c r="BA220">
        <v>94.189689636230497</v>
      </c>
      <c r="BB220">
        <v>94.584068298339801</v>
      </c>
      <c r="BC220">
        <v>94.43505859375</v>
      </c>
      <c r="BD220">
        <v>95.736267089843807</v>
      </c>
      <c r="BE220">
        <v>96.523666381835895</v>
      </c>
      <c r="BF220">
        <v>96.559638977050795</v>
      </c>
      <c r="BG220">
        <v>96.199409484863295</v>
      </c>
      <c r="BH220">
        <v>94.636711120605497</v>
      </c>
      <c r="BI220">
        <v>94.851463317871094</v>
      </c>
      <c r="BJ220">
        <v>95.399757385253906</v>
      </c>
      <c r="BK220">
        <v>96.162017822265597</v>
      </c>
      <c r="BL220">
        <v>97.097526550292997</v>
      </c>
      <c r="BM220">
        <v>97.907608032226605</v>
      </c>
      <c r="BN220">
        <v>97.137321472167997</v>
      </c>
      <c r="BO220">
        <v>96.011657714843807</v>
      </c>
      <c r="BP220">
        <v>96.763717651367202</v>
      </c>
      <c r="BQ220">
        <v>97.101821899414105</v>
      </c>
    </row>
    <row r="221" spans="1:69" x14ac:dyDescent="0.3">
      <c r="A221" t="s">
        <v>214</v>
      </c>
      <c r="B221" t="s">
        <v>436</v>
      </c>
      <c r="C221" t="s">
        <v>544</v>
      </c>
      <c r="D221" t="s">
        <v>545</v>
      </c>
      <c r="BD221">
        <v>90.409111022949205</v>
      </c>
      <c r="BH221">
        <v>70.317802429199205</v>
      </c>
      <c r="BQ221">
        <v>98.441238403320298</v>
      </c>
    </row>
    <row r="222" spans="1:69" x14ac:dyDescent="0.3">
      <c r="A222" t="s">
        <v>23</v>
      </c>
      <c r="B222" t="s">
        <v>617</v>
      </c>
      <c r="C222" t="s">
        <v>544</v>
      </c>
      <c r="D222" t="s">
        <v>545</v>
      </c>
      <c r="O222">
        <v>54.946910858154297</v>
      </c>
      <c r="P222">
        <v>53.502971649169901</v>
      </c>
      <c r="Q222">
        <v>54.693168640136697</v>
      </c>
      <c r="R222">
        <v>55.947311401367202</v>
      </c>
      <c r="S222">
        <v>58.106151580810497</v>
      </c>
      <c r="T222">
        <v>59.661571502685497</v>
      </c>
      <c r="U222">
        <v>60.762081146240199</v>
      </c>
      <c r="V222">
        <v>64.017707824707003</v>
      </c>
      <c r="W222">
        <v>67.670791625976605</v>
      </c>
      <c r="X222">
        <v>72.021438598632798</v>
      </c>
      <c r="Y222">
        <v>75.064506530761705</v>
      </c>
      <c r="Z222">
        <v>77.629020690917997</v>
      </c>
      <c r="AA222">
        <v>79.725967407226605</v>
      </c>
      <c r="AB222">
        <v>79.627479553222699</v>
      </c>
      <c r="AC222">
        <v>78.763717651367202</v>
      </c>
      <c r="AD222">
        <v>76.359390258789105</v>
      </c>
      <c r="AE222">
        <v>73.707870483398395</v>
      </c>
      <c r="AF222">
        <v>72.175758361816406</v>
      </c>
      <c r="AG222">
        <v>71.226501464843807</v>
      </c>
      <c r="AH222">
        <v>71.934226989746094</v>
      </c>
      <c r="AI222">
        <v>71.121116638183594</v>
      </c>
      <c r="AJ222">
        <v>72.116157531738295</v>
      </c>
      <c r="AK222">
        <v>72.014068603515597</v>
      </c>
      <c r="AL222">
        <v>73.319869995117202</v>
      </c>
      <c r="AM222">
        <v>73.476142883300795</v>
      </c>
      <c r="AN222">
        <v>74.008987426757798</v>
      </c>
      <c r="AO222">
        <v>72.040832519531193</v>
      </c>
      <c r="AP222">
        <v>75.378669738769503</v>
      </c>
      <c r="AQ222">
        <v>76.675590515136705</v>
      </c>
      <c r="AR222">
        <v>77.147537231445298</v>
      </c>
      <c r="AS222">
        <v>79.473808288574205</v>
      </c>
      <c r="AT222">
        <v>81.340248107910199</v>
      </c>
      <c r="AU222">
        <v>83.489486694335895</v>
      </c>
      <c r="AV222">
        <v>85.978019714355497</v>
      </c>
      <c r="AW222">
        <v>87.994689941406193</v>
      </c>
      <c r="AX222">
        <v>90.331352233886705</v>
      </c>
      <c r="AY222">
        <v>92.080802917480497</v>
      </c>
      <c r="AZ222">
        <v>92.938079833984403</v>
      </c>
      <c r="BA222">
        <v>94.190208435058594</v>
      </c>
      <c r="BB222">
        <v>94.584579467773395</v>
      </c>
      <c r="BC222">
        <v>94.435653686523395</v>
      </c>
      <c r="BD222">
        <v>95.736747741699205</v>
      </c>
      <c r="BE222">
        <v>96.524017333984403</v>
      </c>
      <c r="BF222">
        <v>96.559913635253906</v>
      </c>
      <c r="BG222">
        <v>96.199722290039105</v>
      </c>
      <c r="BH222">
        <v>94.637123107910199</v>
      </c>
      <c r="BI222">
        <v>94.851768493652301</v>
      </c>
      <c r="BJ222">
        <v>95.399940490722699</v>
      </c>
      <c r="BK222">
        <v>96.162147521972699</v>
      </c>
      <c r="BL222">
        <v>97.097557067871094</v>
      </c>
      <c r="BM222">
        <v>97.907569885253906</v>
      </c>
      <c r="BN222">
        <v>97.137199401855497</v>
      </c>
      <c r="BO222">
        <v>96.011581420898395</v>
      </c>
      <c r="BP222">
        <v>96.763587951660199</v>
      </c>
      <c r="BQ222">
        <v>97.101631164550795</v>
      </c>
    </row>
    <row r="223" spans="1:69" x14ac:dyDescent="0.3">
      <c r="A223" t="s">
        <v>618</v>
      </c>
      <c r="B223" t="s">
        <v>619</v>
      </c>
      <c r="C223" t="s">
        <v>544</v>
      </c>
      <c r="D223" t="s">
        <v>545</v>
      </c>
      <c r="O223">
        <v>97.100410461425795</v>
      </c>
      <c r="P223">
        <v>95.177818298339801</v>
      </c>
      <c r="Q223">
        <v>96.452018737792997</v>
      </c>
      <c r="R223">
        <v>97.278343200683594</v>
      </c>
      <c r="S223">
        <v>99.081336975097699</v>
      </c>
      <c r="T223">
        <v>99.396659851074205</v>
      </c>
      <c r="U223">
        <v>99.887588500976605</v>
      </c>
      <c r="V223">
        <v>100.286827087402</v>
      </c>
      <c r="W223">
        <v>100.139541625977</v>
      </c>
      <c r="X223">
        <v>99.248626708984403</v>
      </c>
      <c r="Y223">
        <v>98.910972595214801</v>
      </c>
      <c r="Z223">
        <v>99.668991088867202</v>
      </c>
      <c r="AA223">
        <v>100.218208312988</v>
      </c>
      <c r="AB223">
        <v>100.530151367188</v>
      </c>
      <c r="AC223">
        <v>100.722549438477</v>
      </c>
      <c r="AD223">
        <v>101.14208984375</v>
      </c>
      <c r="AE223">
        <v>100.751510620117</v>
      </c>
      <c r="AF223">
        <v>101.618698120117</v>
      </c>
      <c r="AG223">
        <v>101.53964233398401</v>
      </c>
      <c r="AH223">
        <v>101.48227691650401</v>
      </c>
      <c r="AI223">
        <v>99.797019958496094</v>
      </c>
      <c r="AJ223">
        <v>99.684471130371094</v>
      </c>
      <c r="AK223">
        <v>98.936447143554702</v>
      </c>
      <c r="AL223">
        <v>98.761123657226605</v>
      </c>
      <c r="AM223">
        <v>99.556587219238295</v>
      </c>
      <c r="AN223">
        <v>99.873428344726605</v>
      </c>
      <c r="AO223">
        <v>99.411148071289105</v>
      </c>
      <c r="AP223">
        <v>99.567291259765597</v>
      </c>
      <c r="AQ223">
        <v>99.632499694824205</v>
      </c>
      <c r="AR223">
        <v>99.314971923828097</v>
      </c>
      <c r="AS223">
        <v>100.118362426758</v>
      </c>
      <c r="AT223">
        <v>101.192672729492</v>
      </c>
      <c r="AU223">
        <v>101.49553680419901</v>
      </c>
      <c r="AV223">
        <v>102.13909912109401</v>
      </c>
      <c r="AW223">
        <v>102.900749206543</v>
      </c>
      <c r="AX223">
        <v>103.432540893555</v>
      </c>
      <c r="AY223">
        <v>104.43829345703099</v>
      </c>
      <c r="AZ223">
        <v>103.954048156738</v>
      </c>
      <c r="BA223">
        <v>104.84237670898401</v>
      </c>
      <c r="BB223">
        <v>104.796226501465</v>
      </c>
      <c r="BC223">
        <v>106.191856384277</v>
      </c>
      <c r="BD223">
        <v>104.70639801025401</v>
      </c>
      <c r="BE223">
        <v>104.44595336914099</v>
      </c>
      <c r="BF223">
        <v>103.707550048828</v>
      </c>
      <c r="BG223">
        <v>102.83307647705099</v>
      </c>
      <c r="BH223">
        <v>102.339546203613</v>
      </c>
      <c r="BI223">
        <v>101.98184204101599</v>
      </c>
      <c r="BJ223">
        <v>101.856903076172</v>
      </c>
      <c r="BK223">
        <v>101.494186401367</v>
      </c>
      <c r="BL223">
        <v>101.091957092285</v>
      </c>
      <c r="BM223">
        <v>100.52075958252</v>
      </c>
      <c r="BN223">
        <v>99.729629516601605</v>
      </c>
      <c r="BO223">
        <v>100.158882141113</v>
      </c>
      <c r="BP223">
        <v>99.849922180175795</v>
      </c>
      <c r="BQ223">
        <v>100.85813140869099</v>
      </c>
    </row>
    <row r="224" spans="1:69" x14ac:dyDescent="0.3">
      <c r="A224" t="s">
        <v>202</v>
      </c>
      <c r="B224" t="s">
        <v>422</v>
      </c>
      <c r="C224" t="s">
        <v>544</v>
      </c>
      <c r="D224" t="s">
        <v>545</v>
      </c>
      <c r="P224">
        <v>101.37139892578099</v>
      </c>
      <c r="Q224">
        <v>111.69310760498</v>
      </c>
      <c r="R224">
        <v>131.67140197753901</v>
      </c>
      <c r="S224">
        <v>104.131141662598</v>
      </c>
      <c r="T224">
        <v>105.446563720703</v>
      </c>
      <c r="U224">
        <v>133.70135498046901</v>
      </c>
      <c r="V224">
        <v>113.783813476562</v>
      </c>
      <c r="W224">
        <v>128.511795043945</v>
      </c>
      <c r="Y224">
        <v>153.97314453125</v>
      </c>
      <c r="Z224">
        <v>155.69500732421901</v>
      </c>
      <c r="AA224">
        <v>151.29293823242199</v>
      </c>
      <c r="AB224">
        <v>143.43487548828099</v>
      </c>
      <c r="AC224">
        <v>136.128982543945</v>
      </c>
      <c r="AD224">
        <v>131.89193725585901</v>
      </c>
      <c r="AF224">
        <v>129.92666625976599</v>
      </c>
      <c r="AG224">
        <v>134.12644958496099</v>
      </c>
      <c r="AI224">
        <v>141.38374328613301</v>
      </c>
      <c r="AJ224">
        <v>144.18179321289099</v>
      </c>
      <c r="AK224">
        <v>148.07360839843801</v>
      </c>
      <c r="AO224">
        <v>134.56268310546901</v>
      </c>
      <c r="AQ224">
        <v>126.008911132812</v>
      </c>
      <c r="AR224">
        <v>100.15590667724599</v>
      </c>
      <c r="AU224">
        <v>120.207168579102</v>
      </c>
      <c r="AV224">
        <v>122.29955291748</v>
      </c>
      <c r="AW224">
        <v>123.559432983398</v>
      </c>
      <c r="AX224">
        <v>125.522186279297</v>
      </c>
      <c r="AZ224">
        <v>122.611000061035</v>
      </c>
      <c r="BA224">
        <v>122.417999267578</v>
      </c>
      <c r="BB224">
        <v>122.30869293212901</v>
      </c>
      <c r="BC224">
        <v>119.25335693359401</v>
      </c>
      <c r="BD224">
        <v>119.297409057617</v>
      </c>
      <c r="BE224">
        <v>111.31436920166</v>
      </c>
      <c r="BF224">
        <v>110.58999633789099</v>
      </c>
      <c r="BG224">
        <v>106.90200042724599</v>
      </c>
      <c r="BH224">
        <v>107.80377960205099</v>
      </c>
      <c r="BI224">
        <v>108.677742004395</v>
      </c>
      <c r="BJ224">
        <v>110.37799835205099</v>
      </c>
    </row>
    <row r="225" spans="1:70" x14ac:dyDescent="0.3">
      <c r="A225" t="s">
        <v>222</v>
      </c>
      <c r="B225" t="s">
        <v>444</v>
      </c>
      <c r="C225" t="s">
        <v>544</v>
      </c>
      <c r="D225" t="s">
        <v>545</v>
      </c>
      <c r="P225">
        <v>122.32627105712901</v>
      </c>
      <c r="Q225">
        <v>118.02597808837901</v>
      </c>
      <c r="R225">
        <v>121.486618041992</v>
      </c>
      <c r="S225">
        <v>125.91446685791</v>
      </c>
      <c r="T225">
        <v>123.85817718505901</v>
      </c>
      <c r="U225">
        <v>111.23892211914099</v>
      </c>
      <c r="V225">
        <v>124.76756286621099</v>
      </c>
      <c r="W225">
        <v>126.967811584473</v>
      </c>
      <c r="X225">
        <v>131.41143798828099</v>
      </c>
      <c r="Y225">
        <v>128.85354614257801</v>
      </c>
      <c r="Z225">
        <v>121.56369781494099</v>
      </c>
      <c r="AA225">
        <v>126.20986938476599</v>
      </c>
      <c r="AB225">
        <v>127.801887512207</v>
      </c>
      <c r="AC225">
        <v>128.65066528320301</v>
      </c>
      <c r="AD225">
        <v>127.817832946777</v>
      </c>
      <c r="AE225">
        <v>127.448768615723</v>
      </c>
      <c r="AF225">
        <v>115.248588562012</v>
      </c>
      <c r="AG225">
        <v>114.78948974609401</v>
      </c>
      <c r="AH225">
        <v>118.90202331543</v>
      </c>
      <c r="AI225">
        <v>107.765579223633</v>
      </c>
      <c r="AJ225">
        <v>102.33505249023401</v>
      </c>
      <c r="AK225">
        <v>121.10369110107401</v>
      </c>
      <c r="AL225">
        <v>127.022987365723</v>
      </c>
      <c r="AM225">
        <v>138.65669250488301</v>
      </c>
      <c r="AR225">
        <v>102.538192749023</v>
      </c>
      <c r="AT225">
        <v>107.133178710938</v>
      </c>
      <c r="AU225">
        <v>106.396446228027</v>
      </c>
      <c r="AX225">
        <v>104.257690429688</v>
      </c>
      <c r="AY225">
        <v>102.543380737305</v>
      </c>
      <c r="AZ225">
        <v>98.476356506347699</v>
      </c>
      <c r="BA225">
        <v>103.520378112793</v>
      </c>
      <c r="BB225">
        <v>104.56826019287099</v>
      </c>
      <c r="BC225">
        <v>102.47163635829899</v>
      </c>
      <c r="BD225">
        <v>101.072891797094</v>
      </c>
      <c r="BE225">
        <v>102.77559025868899</v>
      </c>
      <c r="BF225">
        <v>105.284141540527</v>
      </c>
      <c r="BG225">
        <v>106.41265869140599</v>
      </c>
      <c r="BH225">
        <v>109.04225158691401</v>
      </c>
      <c r="BI225">
        <v>107.464701154132</v>
      </c>
      <c r="BJ225">
        <v>102.176248921713</v>
      </c>
      <c r="BK225">
        <v>100.72614734299501</v>
      </c>
      <c r="BL225">
        <v>101.246120001205</v>
      </c>
      <c r="BM225">
        <v>102.277236938477</v>
      </c>
      <c r="BN225">
        <v>94.881321259889901</v>
      </c>
      <c r="BO225">
        <v>95.297263287524899</v>
      </c>
      <c r="BP225">
        <v>64.179420471191406</v>
      </c>
    </row>
    <row r="226" spans="1:70" x14ac:dyDescent="0.3">
      <c r="A226" t="s">
        <v>210</v>
      </c>
      <c r="B226" t="s">
        <v>430</v>
      </c>
      <c r="C226" t="s">
        <v>544</v>
      </c>
      <c r="D226" t="s">
        <v>545</v>
      </c>
      <c r="AS226">
        <v>102.84538269043</v>
      </c>
      <c r="AT226">
        <v>104.60968780517599</v>
      </c>
      <c r="AU226">
        <v>104.180992126465</v>
      </c>
      <c r="AV226">
        <v>104.27239990234401</v>
      </c>
      <c r="AW226">
        <v>104.14357757568401</v>
      </c>
      <c r="AX226">
        <v>102.93401336669901</v>
      </c>
      <c r="AY226">
        <v>102.14640045166</v>
      </c>
      <c r="AZ226">
        <v>102.25048828125</v>
      </c>
      <c r="BA226">
        <v>102.77455902099599</v>
      </c>
      <c r="BB226">
        <v>102.22898864746099</v>
      </c>
      <c r="BC226">
        <v>101.638298034668</v>
      </c>
      <c r="BD226">
        <v>100.502960205078</v>
      </c>
      <c r="BE226">
        <v>99.132873535156193</v>
      </c>
      <c r="BF226">
        <v>98.692848205566406</v>
      </c>
      <c r="BG226">
        <v>98.511947631835895</v>
      </c>
      <c r="BH226">
        <v>98.312110900878906</v>
      </c>
      <c r="BI226">
        <v>97.621040344238295</v>
      </c>
      <c r="BJ226">
        <v>98.265953063964801</v>
      </c>
      <c r="BK226">
        <v>97.024436950683594</v>
      </c>
      <c r="BL226">
        <v>97.994598388671903</v>
      </c>
      <c r="BM226">
        <v>99.917228698730497</v>
      </c>
      <c r="BN226">
        <v>100.064170837402</v>
      </c>
      <c r="BO226">
        <v>100.32672119140599</v>
      </c>
      <c r="BP226">
        <v>103.09055328369099</v>
      </c>
    </row>
    <row r="227" spans="1:70" x14ac:dyDescent="0.3">
      <c r="A227" t="s">
        <v>211</v>
      </c>
      <c r="B227" t="s">
        <v>431</v>
      </c>
      <c r="C227" t="s">
        <v>544</v>
      </c>
      <c r="D227" t="s">
        <v>545</v>
      </c>
      <c r="AS227">
        <v>99.616897583007798</v>
      </c>
      <c r="AT227">
        <v>102.646118164062</v>
      </c>
      <c r="AU227">
        <v>105.333992004395</v>
      </c>
      <c r="AV227">
        <v>110.09203338623</v>
      </c>
      <c r="AW227">
        <v>96.684371948242202</v>
      </c>
      <c r="AX227">
        <v>98.209877014160199</v>
      </c>
      <c r="AY227">
        <v>100.249351501465</v>
      </c>
      <c r="AZ227">
        <v>96.437507629394503</v>
      </c>
      <c r="BA227">
        <v>97.105697631835895</v>
      </c>
      <c r="BB227">
        <v>97.708358764648395</v>
      </c>
      <c r="BC227">
        <v>98.0614013671875</v>
      </c>
      <c r="BD227">
        <v>97.986152648925795</v>
      </c>
      <c r="BE227">
        <v>98.214286804199205</v>
      </c>
      <c r="BF227">
        <v>98.600677490234403</v>
      </c>
      <c r="BG227">
        <v>98.587173461914105</v>
      </c>
      <c r="BH227">
        <v>98.381591796875</v>
      </c>
      <c r="BI227">
        <v>97.981582641601605</v>
      </c>
      <c r="BJ227">
        <v>98.178131103515597</v>
      </c>
      <c r="BK227">
        <v>99.463096618652301</v>
      </c>
      <c r="BL227">
        <v>99.841819763183594</v>
      </c>
      <c r="BM227">
        <v>100.23153686523401</v>
      </c>
      <c r="BN227">
        <v>99.776268005371094</v>
      </c>
      <c r="BO227">
        <v>100.63913726806599</v>
      </c>
      <c r="BP227">
        <v>100.88410186767599</v>
      </c>
    </row>
    <row r="228" spans="1:70" x14ac:dyDescent="0.3">
      <c r="A228" t="s">
        <v>223</v>
      </c>
      <c r="B228" t="s">
        <v>445</v>
      </c>
      <c r="C228" t="s">
        <v>544</v>
      </c>
      <c r="D228" t="s">
        <v>545</v>
      </c>
      <c r="AS228">
        <v>106.774490356445</v>
      </c>
      <c r="AT228">
        <v>106.82675933837901</v>
      </c>
      <c r="AU228">
        <v>107.147102355957</v>
      </c>
      <c r="AV228">
        <v>107.76238250732401</v>
      </c>
      <c r="AW228">
        <v>100.14324188232401</v>
      </c>
      <c r="AX228">
        <v>100.282669067383</v>
      </c>
      <c r="AY228">
        <v>100.304191589355</v>
      </c>
      <c r="AZ228">
        <v>100.05542755127</v>
      </c>
      <c r="BA228">
        <v>100.137687683105</v>
      </c>
      <c r="BB228">
        <v>99.485237121582003</v>
      </c>
      <c r="BC228">
        <v>99.163467407226605</v>
      </c>
      <c r="BD228">
        <v>97.785942077636705</v>
      </c>
      <c r="BE228">
        <v>99.553718566894503</v>
      </c>
      <c r="BF228">
        <v>118.13543701171901</v>
      </c>
      <c r="BG228">
        <v>118.02986907959</v>
      </c>
      <c r="BH228">
        <v>119.62419128418</v>
      </c>
      <c r="BI228">
        <v>121.44879913330099</v>
      </c>
      <c r="BJ228">
        <v>122.89605712890599</v>
      </c>
      <c r="BK228">
        <v>123.75466156005901</v>
      </c>
      <c r="BL228">
        <v>120.596801757812</v>
      </c>
      <c r="BM228">
        <v>119.500106811523</v>
      </c>
      <c r="BN228">
        <v>117.34763336181599</v>
      </c>
      <c r="BO228">
        <v>116.42539215087901</v>
      </c>
      <c r="BP228">
        <v>115.019523620605</v>
      </c>
    </row>
    <row r="229" spans="1:70" x14ac:dyDescent="0.3">
      <c r="A229" t="s">
        <v>101</v>
      </c>
      <c r="B229" t="s">
        <v>319</v>
      </c>
      <c r="C229" t="s">
        <v>544</v>
      </c>
      <c r="D229" t="s">
        <v>545</v>
      </c>
      <c r="O229">
        <v>78.590370178222699</v>
      </c>
      <c r="P229">
        <v>79.425331115722699</v>
      </c>
      <c r="Q229">
        <v>82.986930847167997</v>
      </c>
      <c r="R229">
        <v>86.927009582519503</v>
      </c>
      <c r="S229">
        <v>89.5579833984375</v>
      </c>
      <c r="T229">
        <v>90.766052246093807</v>
      </c>
      <c r="U229">
        <v>91.375053405761705</v>
      </c>
      <c r="V229">
        <v>92.4456787109375</v>
      </c>
      <c r="W229">
        <v>92.640289306640597</v>
      </c>
      <c r="X229">
        <v>93.413711547851605</v>
      </c>
      <c r="Y229">
        <v>95.069129943847699</v>
      </c>
      <c r="Z229">
        <v>97.5791015625</v>
      </c>
      <c r="AA229">
        <v>97.734153747558594</v>
      </c>
      <c r="AB229">
        <v>97.057609558105497</v>
      </c>
      <c r="AC229">
        <v>96.5909423828125</v>
      </c>
      <c r="AD229">
        <v>96.131156921386705</v>
      </c>
      <c r="AE229">
        <v>94.009933471679702</v>
      </c>
      <c r="AF229">
        <v>93.724151611328097</v>
      </c>
      <c r="AG229">
        <v>93.146301269531193</v>
      </c>
      <c r="AH229">
        <v>92.010848999023395</v>
      </c>
      <c r="AI229">
        <v>93.532928466796903</v>
      </c>
      <c r="AJ229">
        <v>93.195281982421903</v>
      </c>
      <c r="AK229">
        <v>93.538406372070298</v>
      </c>
      <c r="AL229">
        <v>93.424179077148395</v>
      </c>
      <c r="AM229">
        <v>93.955307006835895</v>
      </c>
      <c r="AN229">
        <v>96.524192810058594</v>
      </c>
      <c r="AO229">
        <v>94.902328491210895</v>
      </c>
      <c r="AP229">
        <v>94.869117736816406</v>
      </c>
      <c r="AQ229">
        <v>95.418266296386705</v>
      </c>
      <c r="AR229">
        <v>97.745407104492202</v>
      </c>
      <c r="AS229">
        <v>98.570182800292997</v>
      </c>
      <c r="AT229">
        <v>98.256011962890597</v>
      </c>
      <c r="AU229">
        <v>98.120552062988295</v>
      </c>
      <c r="AV229">
        <v>99.359352111816406</v>
      </c>
      <c r="AW229">
        <v>105.444831848145</v>
      </c>
      <c r="AX229">
        <v>108.12619781494099</v>
      </c>
      <c r="AY229">
        <v>112.744270324707</v>
      </c>
      <c r="AZ229">
        <v>114.515029907227</v>
      </c>
      <c r="BB229">
        <v>117.071746826172</v>
      </c>
      <c r="BC229">
        <v>123.160533409574</v>
      </c>
      <c r="BD229">
        <v>122.704797199075</v>
      </c>
      <c r="BE229">
        <v>122.64780160954</v>
      </c>
      <c r="BF229">
        <v>122.925602493288</v>
      </c>
      <c r="BG229">
        <v>123.990655603286</v>
      </c>
      <c r="BH229">
        <v>124.645792886943</v>
      </c>
      <c r="BI229">
        <v>123.849988082778</v>
      </c>
      <c r="BJ229">
        <v>123.79425580389</v>
      </c>
      <c r="BK229">
        <v>123.906487641965</v>
      </c>
      <c r="BL229">
        <v>123.59684725968199</v>
      </c>
      <c r="BO229">
        <v>117.19574076508501</v>
      </c>
      <c r="BP229">
        <v>116.52700259413599</v>
      </c>
    </row>
    <row r="230" spans="1:70" x14ac:dyDescent="0.3">
      <c r="A230" t="s">
        <v>209</v>
      </c>
      <c r="B230" t="s">
        <v>429</v>
      </c>
      <c r="C230" t="s">
        <v>544</v>
      </c>
      <c r="D230" t="s">
        <v>545</v>
      </c>
      <c r="BE230">
        <v>116.358325219085</v>
      </c>
      <c r="BG230">
        <v>122.77128547579299</v>
      </c>
      <c r="BP230">
        <v>135.07075500488301</v>
      </c>
    </row>
    <row r="231" spans="1:70" x14ac:dyDescent="0.3">
      <c r="A231" t="s">
        <v>206</v>
      </c>
      <c r="B231" t="s">
        <v>426</v>
      </c>
      <c r="C231" t="s">
        <v>544</v>
      </c>
      <c r="D231" t="s">
        <v>545</v>
      </c>
      <c r="O231">
        <v>98.504913330078097</v>
      </c>
      <c r="P231">
        <v>100.54679107666</v>
      </c>
      <c r="Q231">
        <v>101.124267578125</v>
      </c>
      <c r="R231">
        <v>101.301391601562</v>
      </c>
      <c r="S231">
        <v>101.09342956543</v>
      </c>
      <c r="T231">
        <v>99.649398803710895</v>
      </c>
      <c r="U231">
        <v>97.101593017578097</v>
      </c>
      <c r="V231">
        <v>97.847572326660199</v>
      </c>
      <c r="W231">
        <v>99.861892700195298</v>
      </c>
      <c r="X231">
        <v>99.700241088867202</v>
      </c>
      <c r="Y231">
        <v>97.282279968261705</v>
      </c>
      <c r="Z231">
        <v>99.593078613281193</v>
      </c>
      <c r="AA231">
        <v>101.16529083252</v>
      </c>
      <c r="AB231">
        <v>100.83171081543</v>
      </c>
      <c r="AC231">
        <v>99.595687866210895</v>
      </c>
      <c r="AD231">
        <v>101.22371673584</v>
      </c>
      <c r="AE231">
        <v>103.993293762207</v>
      </c>
      <c r="AF231">
        <v>101.650993347168</v>
      </c>
      <c r="AG231">
        <v>100.427528381348</v>
      </c>
      <c r="AH231">
        <v>102.63404846191401</v>
      </c>
      <c r="AJ231">
        <v>106.42722320556599</v>
      </c>
      <c r="AK231">
        <v>104.70216369628901</v>
      </c>
      <c r="AL231">
        <v>104.66448211669901</v>
      </c>
      <c r="AM231">
        <v>105.559700012207</v>
      </c>
      <c r="AN231">
        <v>105.293991088867</v>
      </c>
      <c r="AO231">
        <v>104.93578338623</v>
      </c>
      <c r="AP231">
        <v>103.581298828125</v>
      </c>
      <c r="AQ231">
        <v>104.06069946289099</v>
      </c>
      <c r="AR231">
        <v>107.29257202148401</v>
      </c>
      <c r="AS231">
        <v>107.946586608887</v>
      </c>
      <c r="AT231">
        <v>104.698699951172</v>
      </c>
      <c r="AU231">
        <v>102.47045135498</v>
      </c>
      <c r="AV231">
        <v>100.626457214355</v>
      </c>
      <c r="AW231">
        <v>95.149566650390597</v>
      </c>
      <c r="AX231">
        <v>99.783172607421903</v>
      </c>
      <c r="AY231">
        <v>99.443946838378906</v>
      </c>
      <c r="AZ231">
        <v>101.430366516113</v>
      </c>
      <c r="BA231">
        <v>102.68936920166</v>
      </c>
      <c r="BB231">
        <v>103.47972106933599</v>
      </c>
      <c r="BC231">
        <v>111.25368920826401</v>
      </c>
      <c r="BD231">
        <v>111.588809034908</v>
      </c>
      <c r="BE231">
        <v>113.471570161711</v>
      </c>
      <c r="BF231">
        <v>113.37163750326501</v>
      </c>
      <c r="BG231">
        <v>118.250134192163</v>
      </c>
      <c r="BH231">
        <v>119.94119219460001</v>
      </c>
      <c r="BI231">
        <v>126.219170403587</v>
      </c>
      <c r="BJ231">
        <v>132.23587942639699</v>
      </c>
      <c r="BK231">
        <v>123.72043298142501</v>
      </c>
      <c r="BL231">
        <v>119.315869786368</v>
      </c>
      <c r="BM231">
        <v>114.15366146458599</v>
      </c>
      <c r="BN231">
        <v>109.626103111937</v>
      </c>
      <c r="BO231">
        <v>97.765477654776504</v>
      </c>
      <c r="BP231">
        <v>97.135917417265503</v>
      </c>
      <c r="BQ231">
        <v>93.380058288574205</v>
      </c>
    </row>
    <row r="232" spans="1:70" x14ac:dyDescent="0.3">
      <c r="A232" t="s">
        <v>225</v>
      </c>
      <c r="B232" t="s">
        <v>447</v>
      </c>
      <c r="C232" t="s">
        <v>544</v>
      </c>
      <c r="D232" t="s">
        <v>545</v>
      </c>
      <c r="P232">
        <v>79.706138610839801</v>
      </c>
      <c r="Q232">
        <v>83.595283508300795</v>
      </c>
      <c r="R232">
        <v>88.425163269042997</v>
      </c>
      <c r="S232">
        <v>89.778350830078097</v>
      </c>
      <c r="T232">
        <v>90.4840087890625</v>
      </c>
      <c r="U232">
        <v>91.764259338378906</v>
      </c>
      <c r="V232">
        <v>91.373298645019503</v>
      </c>
      <c r="W232">
        <v>90.797721862792997</v>
      </c>
      <c r="X232">
        <v>90.892547607421903</v>
      </c>
      <c r="Y232">
        <v>92.362251281738295</v>
      </c>
      <c r="Z232">
        <v>93.649559020996094</v>
      </c>
      <c r="AA232">
        <v>95.480049133300795</v>
      </c>
      <c r="AB232">
        <v>96.346641540527301</v>
      </c>
      <c r="AC232">
        <v>98.709197998046903</v>
      </c>
      <c r="AD232">
        <v>100.52024841308599</v>
      </c>
      <c r="AE232">
        <v>102.509407043457</v>
      </c>
      <c r="AF232">
        <v>105.642951965332</v>
      </c>
      <c r="AG232">
        <v>105.484703063965</v>
      </c>
      <c r="AH232">
        <v>106.79770660400401</v>
      </c>
      <c r="AI232">
        <v>106.51686859130901</v>
      </c>
      <c r="AJ232">
        <v>107.964431762695</v>
      </c>
      <c r="AK232">
        <v>108.85523223877</v>
      </c>
      <c r="AL232">
        <v>107.31487274169901</v>
      </c>
      <c r="AM232">
        <v>106.49993896484401</v>
      </c>
      <c r="AN232">
        <v>104.838661193848</v>
      </c>
      <c r="AO232">
        <v>103.52895355224599</v>
      </c>
      <c r="AP232">
        <v>102.427688598633</v>
      </c>
      <c r="AQ232">
        <v>101.31008148193401</v>
      </c>
      <c r="AR232">
        <v>101.92194366455099</v>
      </c>
      <c r="AS232">
        <v>102.30316162109401</v>
      </c>
      <c r="AT232">
        <v>103.40041351318401</v>
      </c>
      <c r="AU232">
        <v>104.690322875977</v>
      </c>
      <c r="AV232">
        <v>113.06861114502</v>
      </c>
      <c r="AW232">
        <v>114.180770874023</v>
      </c>
      <c r="AX232">
        <v>116.219108581543</v>
      </c>
      <c r="AY232">
        <v>116.517631530762</v>
      </c>
      <c r="AZ232">
        <v>115.950576782227</v>
      </c>
      <c r="BA232">
        <v>115.694946289062</v>
      </c>
      <c r="BB232">
        <v>115.82723999023401</v>
      </c>
      <c r="BC232">
        <v>116.73346710205099</v>
      </c>
      <c r="BD232">
        <v>119.229217529297</v>
      </c>
      <c r="BE232">
        <v>120.19310760498</v>
      </c>
      <c r="BF232">
        <v>72.351989746093807</v>
      </c>
      <c r="BM232">
        <v>70.377151489257798</v>
      </c>
      <c r="BN232">
        <v>68.558868408203097</v>
      </c>
      <c r="BO232">
        <v>72.129676818847699</v>
      </c>
      <c r="BP232">
        <v>76.771049499511705</v>
      </c>
      <c r="BQ232">
        <v>81.411468505859403</v>
      </c>
    </row>
    <row r="233" spans="1:70" x14ac:dyDescent="0.3">
      <c r="A233" t="s">
        <v>236</v>
      </c>
      <c r="B233" t="s">
        <v>460</v>
      </c>
      <c r="C233" t="s">
        <v>544</v>
      </c>
      <c r="D233" t="s">
        <v>545</v>
      </c>
      <c r="P233">
        <v>148.98524475097699</v>
      </c>
      <c r="Q233">
        <v>164.010986328125</v>
      </c>
      <c r="R233">
        <v>154.75975036621099</v>
      </c>
      <c r="S233">
        <v>148.92857360839801</v>
      </c>
      <c r="T233">
        <v>142.63157653808599</v>
      </c>
      <c r="U233">
        <v>150.12765502929699</v>
      </c>
      <c r="V233">
        <v>149.75042724609401</v>
      </c>
      <c r="W233">
        <v>137.56097412109401</v>
      </c>
      <c r="AM233">
        <v>116.35637664794901</v>
      </c>
      <c r="AP233">
        <v>90.872329711914105</v>
      </c>
      <c r="AR233">
        <v>95.492660522460895</v>
      </c>
      <c r="AS233">
        <v>102.332656860352</v>
      </c>
      <c r="AT233">
        <v>107.82952880859401</v>
      </c>
      <c r="AU233">
        <v>103.838676452637</v>
      </c>
      <c r="AV233">
        <v>85.619682312011705</v>
      </c>
      <c r="AW233">
        <v>95.791862487792997</v>
      </c>
      <c r="AX233">
        <v>95.319877624511705</v>
      </c>
      <c r="BB233">
        <v>104.898399353027</v>
      </c>
      <c r="BG233">
        <v>97.280410766601605</v>
      </c>
      <c r="BH233">
        <v>93.802102210946003</v>
      </c>
      <c r="BJ233">
        <v>107.507820646507</v>
      </c>
      <c r="BK233">
        <v>129.21348571777301</v>
      </c>
      <c r="BL233">
        <v>119.198606271777</v>
      </c>
      <c r="BM233">
        <v>122.129144851658</v>
      </c>
      <c r="BN233">
        <v>119.73126220703099</v>
      </c>
      <c r="BO233">
        <v>120.81704711914099</v>
      </c>
      <c r="BP233">
        <v>124.371236273468</v>
      </c>
      <c r="BQ233">
        <v>125.059584610146</v>
      </c>
    </row>
    <row r="234" spans="1:70" x14ac:dyDescent="0.3">
      <c r="A234" t="s">
        <v>76</v>
      </c>
      <c r="B234" t="s">
        <v>294</v>
      </c>
      <c r="C234" t="s">
        <v>544</v>
      </c>
      <c r="D234" t="s">
        <v>545</v>
      </c>
      <c r="P234">
        <v>31.318359375</v>
      </c>
      <c r="Q234">
        <v>30.726079940795898</v>
      </c>
      <c r="R234">
        <v>30.703680038452099</v>
      </c>
      <c r="S234">
        <v>31.439020156860401</v>
      </c>
      <c r="T234">
        <v>31.169109344482401</v>
      </c>
      <c r="U234">
        <v>31.997350692748999</v>
      </c>
      <c r="V234">
        <v>32.210090637207003</v>
      </c>
      <c r="AD234">
        <v>32.628608703613303</v>
      </c>
      <c r="AE234">
        <v>37.428298950195298</v>
      </c>
      <c r="AF234">
        <v>36.914958953857401</v>
      </c>
      <c r="AG234">
        <v>44.869171142578097</v>
      </c>
      <c r="AH234">
        <v>44.793869018554702</v>
      </c>
      <c r="AI234">
        <v>50.201831817627003</v>
      </c>
      <c r="AJ234">
        <v>51.704181671142599</v>
      </c>
      <c r="AK234">
        <v>54.216270446777301</v>
      </c>
      <c r="AL234">
        <v>51.167060852050803</v>
      </c>
      <c r="AM234">
        <v>48.073619842529297</v>
      </c>
      <c r="AN234">
        <v>46.223640441894503</v>
      </c>
      <c r="AO234">
        <v>47.855888366699197</v>
      </c>
      <c r="AP234">
        <v>52.958648681640597</v>
      </c>
      <c r="AQ234">
        <v>58.506378173828097</v>
      </c>
      <c r="AR234">
        <v>59.376480102539098</v>
      </c>
      <c r="AS234">
        <v>61.540611267089801</v>
      </c>
      <c r="AT234">
        <v>63.899070739746101</v>
      </c>
      <c r="AU234">
        <v>68.019752502441406</v>
      </c>
      <c r="AV234">
        <v>70.071800231933594</v>
      </c>
      <c r="AW234">
        <v>73.454368591308594</v>
      </c>
      <c r="AX234">
        <v>70.307701110839801</v>
      </c>
      <c r="AY234">
        <v>69.857460021972699</v>
      </c>
      <c r="AZ234">
        <v>68.654571533203097</v>
      </c>
      <c r="BA234">
        <v>76.388076782226605</v>
      </c>
      <c r="BB234">
        <v>80.870536804199205</v>
      </c>
      <c r="BC234">
        <v>80.905280160702205</v>
      </c>
      <c r="BD234">
        <v>87.171052334216498</v>
      </c>
      <c r="BE234">
        <v>90.902284602735804</v>
      </c>
      <c r="BF234">
        <v>97.534682003521795</v>
      </c>
      <c r="BG234">
        <v>98.315521240234403</v>
      </c>
      <c r="BH234">
        <v>87.9123364402014</v>
      </c>
      <c r="BI234">
        <v>82.554577326224802</v>
      </c>
      <c r="BJ234">
        <v>74.213606832584006</v>
      </c>
      <c r="BK234">
        <v>84.343882033769304</v>
      </c>
      <c r="BL234">
        <v>83.264215851602003</v>
      </c>
      <c r="BN234">
        <v>86.145430389142106</v>
      </c>
      <c r="BO234">
        <v>87.034731678062798</v>
      </c>
      <c r="BP234">
        <v>88.343657859433407</v>
      </c>
      <c r="BQ234">
        <v>88.464521953344999</v>
      </c>
    </row>
    <row r="235" spans="1:70" x14ac:dyDescent="0.3">
      <c r="A235" t="s">
        <v>620</v>
      </c>
      <c r="B235" t="s">
        <v>621</v>
      </c>
      <c r="C235" t="s">
        <v>544</v>
      </c>
      <c r="D235" t="s">
        <v>545</v>
      </c>
      <c r="O235">
        <v>110.78540802002</v>
      </c>
      <c r="P235">
        <v>105.576461791992</v>
      </c>
      <c r="Q235">
        <v>102.621536254883</v>
      </c>
      <c r="R235">
        <v>103.698036193848</v>
      </c>
      <c r="S235">
        <v>102.71810913085901</v>
      </c>
      <c r="T235">
        <v>107.535537719727</v>
      </c>
      <c r="U235">
        <v>111.83567810058599</v>
      </c>
      <c r="V235">
        <v>111.064933776855</v>
      </c>
      <c r="W235">
        <v>108.73638916015599</v>
      </c>
      <c r="X235">
        <v>108.22495269775401</v>
      </c>
      <c r="Y235">
        <v>108.21453857421901</v>
      </c>
      <c r="Z235">
        <v>110.22923278808599</v>
      </c>
      <c r="AA235">
        <v>111.740447998047</v>
      </c>
      <c r="AB235">
        <v>114.270072937012</v>
      </c>
      <c r="AC235">
        <v>116.49079132080099</v>
      </c>
      <c r="AD235">
        <v>121.26889801025401</v>
      </c>
      <c r="AE235">
        <v>124.370681762695</v>
      </c>
      <c r="AF235">
        <v>125.936111450195</v>
      </c>
      <c r="AG235">
        <v>124.11093902587901</v>
      </c>
      <c r="AH235">
        <v>121.223388671875</v>
      </c>
      <c r="AI235">
        <v>116.209106445312</v>
      </c>
      <c r="AJ235">
        <v>114.102569580078</v>
      </c>
      <c r="AK235">
        <v>112.287467956543</v>
      </c>
      <c r="AL235">
        <v>110.97199249267599</v>
      </c>
      <c r="AM235">
        <v>110.19898223877</v>
      </c>
      <c r="AN235">
        <v>110.245040893555</v>
      </c>
      <c r="AO235">
        <v>109.534019470215</v>
      </c>
      <c r="AP235">
        <v>109.236030578613</v>
      </c>
      <c r="AQ235">
        <v>108.96823883056599</v>
      </c>
      <c r="AR235">
        <v>110.451629638672</v>
      </c>
      <c r="AS235">
        <v>111.02728271484401</v>
      </c>
      <c r="AT235">
        <v>111.821853637695</v>
      </c>
      <c r="AU235">
        <v>110.241333007812</v>
      </c>
      <c r="AV235">
        <v>108.705848693848</v>
      </c>
      <c r="AW235">
        <v>107.324409484863</v>
      </c>
      <c r="AX235">
        <v>105.609703063965</v>
      </c>
      <c r="AY235">
        <v>104.81552124023401</v>
      </c>
      <c r="AZ235">
        <v>105.335739135742</v>
      </c>
      <c r="BA235">
        <v>105.647567749023</v>
      </c>
      <c r="BB235">
        <v>105.59845733642599</v>
      </c>
      <c r="BC235">
        <v>105.12135314941401</v>
      </c>
      <c r="BD235">
        <v>105.269119262695</v>
      </c>
      <c r="BE235">
        <v>105.422721862793</v>
      </c>
      <c r="BF235">
        <v>104.857917785645</v>
      </c>
      <c r="BG235">
        <v>101.847709655762</v>
      </c>
      <c r="BH235">
        <v>101.058212280273</v>
      </c>
      <c r="BI235">
        <v>100.88697814941401</v>
      </c>
      <c r="BJ235">
        <v>100.693466186523</v>
      </c>
      <c r="BK235">
        <v>100.19671630859401</v>
      </c>
      <c r="BL235">
        <v>99.829963684082003</v>
      </c>
      <c r="BM235">
        <v>100.050987243652</v>
      </c>
      <c r="BN235">
        <v>99.993873596191406</v>
      </c>
      <c r="BO235">
        <v>100.17669677734401</v>
      </c>
      <c r="BP235">
        <v>99.403419494628906</v>
      </c>
      <c r="BQ235">
        <v>100.048690795898</v>
      </c>
    </row>
    <row r="236" spans="1:70" x14ac:dyDescent="0.3">
      <c r="A236" t="s">
        <v>622</v>
      </c>
      <c r="B236" t="s">
        <v>623</v>
      </c>
      <c r="C236" t="s">
        <v>544</v>
      </c>
      <c r="D236" t="s">
        <v>545</v>
      </c>
      <c r="AR236">
        <v>108.54974365234401</v>
      </c>
      <c r="AS236">
        <v>104.904747009277</v>
      </c>
      <c r="AT236">
        <v>106.63298797607401</v>
      </c>
      <c r="AU236">
        <v>108.156982421875</v>
      </c>
      <c r="AV236">
        <v>105.676261901855</v>
      </c>
      <c r="AW236">
        <v>103.70240783691401</v>
      </c>
      <c r="AX236">
        <v>101.066932678223</v>
      </c>
      <c r="AY236">
        <v>100.519172668457</v>
      </c>
      <c r="AZ236">
        <v>100.39623260498</v>
      </c>
      <c r="BA236">
        <v>99.394790649414105</v>
      </c>
      <c r="BB236">
        <v>99.081809997558594</v>
      </c>
      <c r="BC236">
        <v>99.476547241210895</v>
      </c>
      <c r="BD236">
        <v>99.652389526367202</v>
      </c>
      <c r="BE236">
        <v>99.345779418945298</v>
      </c>
      <c r="BF236">
        <v>100.804801940918</v>
      </c>
      <c r="BG236">
        <v>100.431198120117</v>
      </c>
      <c r="BH236">
        <v>98.978271484375</v>
      </c>
      <c r="BI236">
        <v>98.480278015136705</v>
      </c>
      <c r="BJ236">
        <v>97.658187866210895</v>
      </c>
      <c r="BK236">
        <v>98.482810974121094</v>
      </c>
      <c r="BL236">
        <v>99.272422790527301</v>
      </c>
      <c r="BM236">
        <v>98.705642700195298</v>
      </c>
      <c r="BN236">
        <v>99.101760864257798</v>
      </c>
      <c r="BO236">
        <v>98.565032958984403</v>
      </c>
      <c r="BP236">
        <v>97.308769226074205</v>
      </c>
      <c r="BQ236">
        <v>97.042198181152301</v>
      </c>
    </row>
    <row r="237" spans="1:70" x14ac:dyDescent="0.3">
      <c r="A237" t="s">
        <v>230</v>
      </c>
      <c r="B237" t="s">
        <v>454</v>
      </c>
      <c r="C237" t="s">
        <v>544</v>
      </c>
      <c r="D237" t="s">
        <v>545</v>
      </c>
      <c r="P237">
        <v>61.1597290039062</v>
      </c>
      <c r="Q237">
        <v>66.704521179199205</v>
      </c>
      <c r="R237">
        <v>72.781959533691406</v>
      </c>
      <c r="S237">
        <v>75.835906982421903</v>
      </c>
      <c r="T237">
        <v>77.913269042968807</v>
      </c>
      <c r="U237">
        <v>83.451568603515597</v>
      </c>
      <c r="V237">
        <v>88.431159973144503</v>
      </c>
      <c r="W237">
        <v>91.628669738769503</v>
      </c>
      <c r="X237">
        <v>96.785057067871094</v>
      </c>
      <c r="Y237">
        <v>99.147888183593807</v>
      </c>
      <c r="Z237">
        <v>100.21791839599599</v>
      </c>
      <c r="AA237">
        <v>95.048736572265597</v>
      </c>
      <c r="AB237">
        <v>90.345710754394503</v>
      </c>
      <c r="AC237">
        <v>80.934028625488295</v>
      </c>
      <c r="AD237">
        <v>77.647476196289105</v>
      </c>
      <c r="AE237">
        <v>76.709342956542997</v>
      </c>
      <c r="AF237">
        <v>82.279602050781193</v>
      </c>
      <c r="AG237">
        <v>82.636878967285199</v>
      </c>
      <c r="AH237">
        <v>86.817863464355497</v>
      </c>
      <c r="AI237">
        <v>88.821479797363295</v>
      </c>
      <c r="AJ237">
        <v>93.858238220214801</v>
      </c>
      <c r="AK237">
        <v>92.471992492675795</v>
      </c>
      <c r="AM237">
        <v>96.004203796386705</v>
      </c>
      <c r="AN237">
        <v>105.588981628418</v>
      </c>
      <c r="AO237">
        <v>110.238662719727</v>
      </c>
      <c r="AP237">
        <v>111.314659118652</v>
      </c>
      <c r="AQ237">
        <v>112.36647033691401</v>
      </c>
      <c r="AR237">
        <v>118.03196716308599</v>
      </c>
      <c r="AS237">
        <v>110.80874633789099</v>
      </c>
      <c r="AT237">
        <v>112.105476379395</v>
      </c>
      <c r="AU237">
        <v>113.69199371337901</v>
      </c>
      <c r="AV237">
        <v>111.294708251953</v>
      </c>
      <c r="AW237">
        <v>110.33885192871099</v>
      </c>
      <c r="AX237">
        <v>109.478187561035</v>
      </c>
      <c r="AY237">
        <v>113.06999206543</v>
      </c>
      <c r="AZ237">
        <v>107.23622894287099</v>
      </c>
      <c r="BA237">
        <v>107.98821258544901</v>
      </c>
      <c r="BB237">
        <v>121.99095153808599</v>
      </c>
      <c r="BC237">
        <v>124.70951420928201</v>
      </c>
      <c r="BD237">
        <v>122.784071157596</v>
      </c>
      <c r="BE237">
        <v>125.758046516929</v>
      </c>
      <c r="BF237">
        <v>126.10501578594</v>
      </c>
      <c r="BG237">
        <v>122.304207926362</v>
      </c>
      <c r="BH237">
        <v>125.60269193174901</v>
      </c>
      <c r="BI237">
        <v>121.476913528699</v>
      </c>
      <c r="BJ237">
        <v>119.40569424848501</v>
      </c>
      <c r="BK237">
        <v>117.83632449046399</v>
      </c>
      <c r="BL237">
        <v>117.747746676497</v>
      </c>
      <c r="BM237">
        <v>119.26683094876201</v>
      </c>
      <c r="BN237">
        <v>116.971385859009</v>
      </c>
      <c r="BO237">
        <v>118.42316752898</v>
      </c>
      <c r="BP237">
        <v>116.335465545392</v>
      </c>
      <c r="BQ237">
        <v>114.272773524266</v>
      </c>
    </row>
    <row r="238" spans="1:70" x14ac:dyDescent="0.3">
      <c r="A238" t="s">
        <v>228</v>
      </c>
      <c r="B238" t="s">
        <v>452</v>
      </c>
      <c r="C238" t="s">
        <v>544</v>
      </c>
      <c r="D238" t="s">
        <v>545</v>
      </c>
      <c r="AT238">
        <v>95.334266662597699</v>
      </c>
      <c r="AU238">
        <v>96.070182800292997</v>
      </c>
      <c r="AW238">
        <v>97.962699890136705</v>
      </c>
      <c r="AX238">
        <v>98.467239379882798</v>
      </c>
      <c r="AY238">
        <v>98.436042785644503</v>
      </c>
      <c r="AZ238">
        <v>97.830802917480497</v>
      </c>
      <c r="BA238">
        <v>96.535499572753906</v>
      </c>
      <c r="BB238">
        <v>93.518882751464801</v>
      </c>
      <c r="BC238">
        <v>89.248847961425795</v>
      </c>
      <c r="BD238">
        <v>95.652603149414105</v>
      </c>
      <c r="BE238">
        <v>96.498268127441406</v>
      </c>
      <c r="BF238">
        <v>97.184059143066406</v>
      </c>
      <c r="BG238">
        <v>103.479377746582</v>
      </c>
      <c r="BH238">
        <v>103.333457946777</v>
      </c>
      <c r="BI238">
        <v>104.941299438477</v>
      </c>
      <c r="BJ238">
        <v>101.863590810489</v>
      </c>
      <c r="BK238">
        <v>102.013545184574</v>
      </c>
      <c r="BL238">
        <v>103.012241063391</v>
      </c>
      <c r="BM238">
        <v>103.859900460568</v>
      </c>
      <c r="BN238">
        <v>103.619796585158</v>
      </c>
      <c r="BO238">
        <v>104.833004394528</v>
      </c>
      <c r="BP238">
        <v>102.574975655738</v>
      </c>
      <c r="BQ238">
        <v>101.00422357360399</v>
      </c>
      <c r="BR238">
        <v>100.72816848338699</v>
      </c>
    </row>
    <row r="239" spans="1:70" x14ac:dyDescent="0.3">
      <c r="A239" t="s">
        <v>226</v>
      </c>
      <c r="B239" t="s">
        <v>450</v>
      </c>
      <c r="C239" t="s">
        <v>544</v>
      </c>
      <c r="D239" t="s">
        <v>545</v>
      </c>
      <c r="AJ239">
        <v>89.511047363281193</v>
      </c>
      <c r="AK239">
        <v>90.261749267578097</v>
      </c>
      <c r="AL239">
        <v>83.521263122558594</v>
      </c>
      <c r="AM239">
        <v>87.138801574707003</v>
      </c>
      <c r="AN239">
        <v>86.043449401855497</v>
      </c>
      <c r="AO239">
        <v>85.0361328125</v>
      </c>
      <c r="AP239">
        <v>83.084617614746094</v>
      </c>
      <c r="AQ239">
        <v>91.345207214355497</v>
      </c>
      <c r="AR239">
        <v>93.623542785644503</v>
      </c>
      <c r="AS239">
        <v>96.762420654296903</v>
      </c>
      <c r="AT239">
        <v>95.684288024902301</v>
      </c>
      <c r="AU239">
        <v>96.398620605468807</v>
      </c>
      <c r="AV239">
        <v>97.454696655273395</v>
      </c>
      <c r="AW239">
        <v>96.886390686035199</v>
      </c>
      <c r="AX239">
        <v>97.2828369140625</v>
      </c>
      <c r="AY239">
        <v>96.910797119140597</v>
      </c>
      <c r="AZ239">
        <v>96.813713073730497</v>
      </c>
      <c r="BA239">
        <v>99.660530090332003</v>
      </c>
      <c r="BB239">
        <v>99.214859008789105</v>
      </c>
      <c r="BC239">
        <v>99.050582885742202</v>
      </c>
      <c r="BD239">
        <v>96.703826904296903</v>
      </c>
      <c r="BE239">
        <v>92.890541076660199</v>
      </c>
      <c r="BF239">
        <v>91.774742126464801</v>
      </c>
      <c r="BG239">
        <v>90.320159912109403</v>
      </c>
      <c r="BH239">
        <v>91.264587402343807</v>
      </c>
      <c r="BI239">
        <v>93.281982421875</v>
      </c>
      <c r="BJ239">
        <v>95.770416259765597</v>
      </c>
      <c r="BM239">
        <v>100.40468774215201</v>
      </c>
      <c r="BN239">
        <v>100.36873086238199</v>
      </c>
      <c r="BO239">
        <v>99.966888601605504</v>
      </c>
      <c r="BP239">
        <v>96.975926527023603</v>
      </c>
      <c r="BQ239">
        <v>95.757141161106503</v>
      </c>
    </row>
    <row r="240" spans="1:70" x14ac:dyDescent="0.3">
      <c r="A240" t="s">
        <v>235</v>
      </c>
      <c r="B240" t="s">
        <v>459</v>
      </c>
      <c r="C240" t="s">
        <v>544</v>
      </c>
      <c r="D240" t="s">
        <v>545</v>
      </c>
      <c r="BL240">
        <v>99.539269297899295</v>
      </c>
      <c r="BM240">
        <v>100.048094898202</v>
      </c>
      <c r="BN240">
        <v>99.148014910553002</v>
      </c>
      <c r="BO240">
        <v>97.810129564193204</v>
      </c>
      <c r="BP240">
        <v>97.341891416248998</v>
      </c>
      <c r="BQ240">
        <v>95.692177546261902</v>
      </c>
    </row>
    <row r="241" spans="1:69" x14ac:dyDescent="0.3">
      <c r="A241" t="s">
        <v>624</v>
      </c>
      <c r="B241" t="s">
        <v>625</v>
      </c>
      <c r="C241" t="s">
        <v>544</v>
      </c>
      <c r="D241" t="s">
        <v>545</v>
      </c>
      <c r="AP241">
        <v>113.75746917724599</v>
      </c>
      <c r="AR241">
        <v>116.76349639892599</v>
      </c>
      <c r="AS241">
        <v>116.001388549805</v>
      </c>
      <c r="AT241">
        <v>115.187141418457</v>
      </c>
      <c r="AU241">
        <v>115.122108459473</v>
      </c>
      <c r="AV241">
        <v>114.092979431152</v>
      </c>
      <c r="AW241">
        <v>114.31256866455099</v>
      </c>
      <c r="AX241">
        <v>113.669807434082</v>
      </c>
      <c r="AY241">
        <v>109.50966644287099</v>
      </c>
      <c r="AZ241">
        <v>113.241333007812</v>
      </c>
      <c r="BA241">
        <v>112.715957641602</v>
      </c>
      <c r="BB241">
        <v>112.700576782227</v>
      </c>
      <c r="BC241">
        <v>111.61547088623</v>
      </c>
      <c r="BD241">
        <v>110.767776489258</v>
      </c>
      <c r="BE241">
        <v>109.57347869873</v>
      </c>
      <c r="BF241">
        <v>110.419158935547</v>
      </c>
      <c r="BG241">
        <v>109.490730285645</v>
      </c>
      <c r="BH241">
        <v>108.406532287598</v>
      </c>
      <c r="BI241">
        <v>107.734580993652</v>
      </c>
      <c r="BJ241">
        <v>107.16062164306599</v>
      </c>
      <c r="BK241">
        <v>106.78627777099599</v>
      </c>
      <c r="BL241">
        <v>106.70001220703099</v>
      </c>
      <c r="BM241">
        <v>105.986572265625</v>
      </c>
      <c r="BN241">
        <v>105.18491363525401</v>
      </c>
      <c r="BO241">
        <v>105.14202880859401</v>
      </c>
      <c r="BP241">
        <v>104.74041748046901</v>
      </c>
      <c r="BQ241">
        <v>104.723831176758</v>
      </c>
    </row>
    <row r="242" spans="1:69" x14ac:dyDescent="0.3">
      <c r="A242" t="s">
        <v>229</v>
      </c>
      <c r="B242" t="s">
        <v>453</v>
      </c>
      <c r="C242" t="s">
        <v>544</v>
      </c>
      <c r="D242" t="s">
        <v>545</v>
      </c>
      <c r="AT242">
        <v>151.19697570800801</v>
      </c>
      <c r="AU242">
        <v>138.64076232910199</v>
      </c>
      <c r="AV242">
        <v>129.39653015136699</v>
      </c>
      <c r="AW242">
        <v>126.797088623047</v>
      </c>
      <c r="AX242">
        <v>121.38760375976599</v>
      </c>
      <c r="BA242">
        <v>123.96022796630901</v>
      </c>
      <c r="BB242">
        <v>125.8955078125</v>
      </c>
      <c r="BC242">
        <v>128.02908500186399</v>
      </c>
      <c r="BD242">
        <v>130.79651951956799</v>
      </c>
      <c r="BE242">
        <v>129.969976978814</v>
      </c>
      <c r="BF242">
        <v>128.884641566738</v>
      </c>
      <c r="BG242">
        <v>127.79197925831799</v>
      </c>
      <c r="BH242">
        <v>126.646454350675</v>
      </c>
      <c r="BI242">
        <v>123.315981015137</v>
      </c>
      <c r="BJ242">
        <v>117.545590260011</v>
      </c>
      <c r="BK242">
        <v>113.61382306940899</v>
      </c>
      <c r="BL242">
        <v>111.537505941321</v>
      </c>
      <c r="BM242">
        <v>110.60670366742799</v>
      </c>
      <c r="BN242">
        <v>123.584941487948</v>
      </c>
      <c r="BO242">
        <v>119.03671932658099</v>
      </c>
      <c r="BP242">
        <v>119.652693100113</v>
      </c>
    </row>
    <row r="243" spans="1:69" x14ac:dyDescent="0.3">
      <c r="A243" t="s">
        <v>626</v>
      </c>
      <c r="B243" t="s">
        <v>627</v>
      </c>
      <c r="C243" t="s">
        <v>544</v>
      </c>
      <c r="D243" t="s">
        <v>545</v>
      </c>
    </row>
    <row r="244" spans="1:69" x14ac:dyDescent="0.3">
      <c r="A244" t="s">
        <v>231</v>
      </c>
      <c r="B244" t="s">
        <v>455</v>
      </c>
      <c r="C244" t="s">
        <v>544</v>
      </c>
      <c r="D244" t="s">
        <v>545</v>
      </c>
      <c r="AS244">
        <v>111.17991638183599</v>
      </c>
      <c r="AT244">
        <v>113.29653167724599</v>
      </c>
      <c r="AU244">
        <v>113.150756835938</v>
      </c>
      <c r="AV244">
        <v>117.967819213867</v>
      </c>
      <c r="AW244">
        <v>112.474533081055</v>
      </c>
      <c r="AX244">
        <v>111.582809448242</v>
      </c>
      <c r="AY244">
        <v>110.63149261474599</v>
      </c>
      <c r="AZ244">
        <v>110.22512054443401</v>
      </c>
      <c r="BA244">
        <v>112.81304931640599</v>
      </c>
      <c r="BB244">
        <v>113.06552886962901</v>
      </c>
      <c r="BC244">
        <v>113.930206298828</v>
      </c>
      <c r="BD244">
        <v>115.24356842041</v>
      </c>
      <c r="BE244">
        <v>117.420058635031</v>
      </c>
      <c r="BF244">
        <v>117.891068133671</v>
      </c>
      <c r="BG244">
        <v>117.461517317207</v>
      </c>
      <c r="BH244">
        <v>117.36005528680001</v>
      </c>
      <c r="BK244">
        <v>116.08777598276799</v>
      </c>
      <c r="BL244">
        <v>113.312034078807</v>
      </c>
      <c r="BM244">
        <v>112.25483743583</v>
      </c>
      <c r="BN244">
        <v>107.017315453717</v>
      </c>
      <c r="BO244">
        <v>106.53573728267899</v>
      </c>
      <c r="BP244">
        <v>109.61159104822799</v>
      </c>
      <c r="BQ244">
        <v>108.78998609179401</v>
      </c>
    </row>
    <row r="245" spans="1:69" x14ac:dyDescent="0.3">
      <c r="A245" t="s">
        <v>628</v>
      </c>
      <c r="B245" t="s">
        <v>629</v>
      </c>
      <c r="C245" t="s">
        <v>544</v>
      </c>
      <c r="D245" t="s">
        <v>545</v>
      </c>
      <c r="AR245">
        <v>96.487052917480497</v>
      </c>
      <c r="AS245">
        <v>98.615661621093807</v>
      </c>
      <c r="AT245">
        <v>96.954742431640597</v>
      </c>
      <c r="AU245">
        <v>97.631263732910199</v>
      </c>
      <c r="AV245">
        <v>104.661209106445</v>
      </c>
      <c r="AW245">
        <v>106.247352600098</v>
      </c>
      <c r="AX245">
        <v>107.856147766113</v>
      </c>
      <c r="AY245">
        <v>109.75798797607401</v>
      </c>
      <c r="AZ245">
        <v>111.125106811523</v>
      </c>
      <c r="BA245">
        <v>111.084480285645</v>
      </c>
      <c r="BB245">
        <v>110.484977722168</v>
      </c>
      <c r="BC245">
        <v>110.696907043457</v>
      </c>
      <c r="BD245">
        <v>109.97849273681599</v>
      </c>
      <c r="BE245">
        <v>111.91184997558599</v>
      </c>
      <c r="BF245">
        <v>113.48536682128901</v>
      </c>
      <c r="BG245">
        <v>111.84026336669901</v>
      </c>
      <c r="BH245">
        <v>112.902671813965</v>
      </c>
      <c r="BI245">
        <v>118.426078796387</v>
      </c>
      <c r="BJ245">
        <v>117.016357421875</v>
      </c>
      <c r="BK245">
        <v>102.81281280517599</v>
      </c>
      <c r="BL245">
        <v>101.631233215332</v>
      </c>
      <c r="BM245">
        <v>103.28058624267599</v>
      </c>
      <c r="BN245">
        <v>104.27928161621099</v>
      </c>
      <c r="BO245">
        <v>111.83274078369099</v>
      </c>
      <c r="BP245">
        <v>112.759391784668</v>
      </c>
      <c r="BQ245">
        <v>119.026802062988</v>
      </c>
    </row>
    <row r="246" spans="1:69" x14ac:dyDescent="0.3">
      <c r="A246" t="s">
        <v>630</v>
      </c>
      <c r="B246" t="s">
        <v>631</v>
      </c>
      <c r="C246" t="s">
        <v>544</v>
      </c>
      <c r="D246" t="s">
        <v>545</v>
      </c>
      <c r="O246">
        <v>54.946910858154297</v>
      </c>
      <c r="P246">
        <v>53.502971649169901</v>
      </c>
      <c r="Q246">
        <v>54.693168640136697</v>
      </c>
      <c r="R246">
        <v>55.947311401367202</v>
      </c>
      <c r="S246">
        <v>58.106151580810497</v>
      </c>
      <c r="T246">
        <v>59.661571502685497</v>
      </c>
      <c r="U246">
        <v>60.762081146240199</v>
      </c>
      <c r="V246">
        <v>64.017707824707003</v>
      </c>
      <c r="W246">
        <v>67.670791625976605</v>
      </c>
      <c r="X246">
        <v>72.021438598632798</v>
      </c>
      <c r="Y246">
        <v>75.064506530761705</v>
      </c>
      <c r="Z246">
        <v>77.629020690917997</v>
      </c>
      <c r="AA246">
        <v>79.725967407226605</v>
      </c>
      <c r="AB246">
        <v>79.627479553222699</v>
      </c>
      <c r="AC246">
        <v>78.763717651367202</v>
      </c>
      <c r="AD246">
        <v>76.359390258789105</v>
      </c>
      <c r="AE246">
        <v>73.707870483398395</v>
      </c>
      <c r="AF246">
        <v>72.175758361816406</v>
      </c>
      <c r="AG246">
        <v>71.226501464843807</v>
      </c>
      <c r="AH246">
        <v>71.934226989746094</v>
      </c>
      <c r="AI246">
        <v>71.121116638183594</v>
      </c>
      <c r="AJ246">
        <v>72.116157531738295</v>
      </c>
      <c r="AK246">
        <v>72.014068603515597</v>
      </c>
      <c r="AL246">
        <v>73.319869995117202</v>
      </c>
      <c r="AM246">
        <v>73.476142883300795</v>
      </c>
      <c r="AN246">
        <v>74.008987426757798</v>
      </c>
      <c r="AO246">
        <v>72.040832519531193</v>
      </c>
      <c r="AP246">
        <v>75.378669738769503</v>
      </c>
      <c r="AQ246">
        <v>76.675590515136705</v>
      </c>
      <c r="AR246">
        <v>77.147537231445298</v>
      </c>
      <c r="AS246">
        <v>79.473808288574205</v>
      </c>
      <c r="AT246">
        <v>81.340248107910199</v>
      </c>
      <c r="AU246">
        <v>83.489486694335895</v>
      </c>
      <c r="AV246">
        <v>85.978019714355497</v>
      </c>
      <c r="AW246">
        <v>87.994689941406193</v>
      </c>
      <c r="AX246">
        <v>90.331352233886705</v>
      </c>
      <c r="AY246">
        <v>92.080802917480497</v>
      </c>
      <c r="AZ246">
        <v>92.938079833984403</v>
      </c>
      <c r="BA246">
        <v>94.190208435058594</v>
      </c>
      <c r="BB246">
        <v>94.584579467773395</v>
      </c>
      <c r="BC246">
        <v>94.435653686523395</v>
      </c>
      <c r="BD246">
        <v>95.736747741699205</v>
      </c>
      <c r="BE246">
        <v>96.524017333984403</v>
      </c>
      <c r="BF246">
        <v>96.559913635253906</v>
      </c>
      <c r="BG246">
        <v>96.199722290039105</v>
      </c>
      <c r="BH246">
        <v>94.637123107910199</v>
      </c>
      <c r="BI246">
        <v>94.851768493652301</v>
      </c>
      <c r="BJ246">
        <v>95.399940490722699</v>
      </c>
      <c r="BK246">
        <v>96.162147521972699</v>
      </c>
      <c r="BL246">
        <v>97.097557067871094</v>
      </c>
      <c r="BM246">
        <v>97.907569885253906</v>
      </c>
      <c r="BN246">
        <v>97.137199401855497</v>
      </c>
      <c r="BO246">
        <v>96.011581420898395</v>
      </c>
      <c r="BP246">
        <v>96.763587951660199</v>
      </c>
      <c r="BQ246">
        <v>97.101631164550795</v>
      </c>
    </row>
    <row r="247" spans="1:69" x14ac:dyDescent="0.3">
      <c r="A247" t="s">
        <v>232</v>
      </c>
      <c r="B247" t="s">
        <v>456</v>
      </c>
      <c r="C247" t="s">
        <v>544</v>
      </c>
      <c r="D247" t="s">
        <v>545</v>
      </c>
      <c r="P247">
        <v>112.17592620849599</v>
      </c>
      <c r="Q247">
        <v>113.19864654541</v>
      </c>
      <c r="R247">
        <v>113.109916687012</v>
      </c>
      <c r="S247">
        <v>111.892379760742</v>
      </c>
      <c r="T247">
        <v>110.80819702148401</v>
      </c>
      <c r="U247">
        <v>112.109161376953</v>
      </c>
      <c r="V247">
        <v>109.621536254883</v>
      </c>
      <c r="W247">
        <v>106.113723754883</v>
      </c>
      <c r="X247">
        <v>100.34377288818401</v>
      </c>
      <c r="Y247">
        <v>97.346321105957003</v>
      </c>
      <c r="Z247">
        <v>97.157501220703097</v>
      </c>
      <c r="AA247">
        <v>96.990097045898395</v>
      </c>
      <c r="AB247">
        <v>97.049430847167997</v>
      </c>
      <c r="AC247">
        <v>93.948051452636705</v>
      </c>
      <c r="AD247">
        <v>93.631263732910199</v>
      </c>
      <c r="AE247">
        <v>91.244117736816406</v>
      </c>
      <c r="AF247">
        <v>93.217658996582003</v>
      </c>
      <c r="AG247">
        <v>93.948188781738295</v>
      </c>
      <c r="AH247">
        <v>93.338577270507798</v>
      </c>
      <c r="AI247">
        <v>93.210609436035199</v>
      </c>
      <c r="AJ247">
        <v>93.964241027832003</v>
      </c>
      <c r="AK247">
        <v>94.404937744140597</v>
      </c>
      <c r="AL247">
        <v>95.096290588378906</v>
      </c>
      <c r="AM247">
        <v>95.349220275878906</v>
      </c>
      <c r="AN247">
        <v>95.724670410156193</v>
      </c>
      <c r="AO247">
        <v>95.731208801269503</v>
      </c>
      <c r="AP247">
        <v>96.546760559082003</v>
      </c>
      <c r="AQ247">
        <v>97.897087097167997</v>
      </c>
      <c r="AR247">
        <v>99.939636230468807</v>
      </c>
      <c r="AS247">
        <v>101.986701965332</v>
      </c>
      <c r="AT247">
        <v>97.978820800781193</v>
      </c>
      <c r="AU247">
        <v>92.731109619140597</v>
      </c>
      <c r="AV247">
        <v>95.743553161621094</v>
      </c>
      <c r="AW247">
        <v>96.188552856445298</v>
      </c>
      <c r="AX247">
        <v>93.388771057128906</v>
      </c>
      <c r="AZ247">
        <v>97.804977416992202</v>
      </c>
      <c r="BA247">
        <v>99.639137268066406</v>
      </c>
      <c r="BB247">
        <v>100.59165191650401</v>
      </c>
      <c r="BC247">
        <v>101.466957092285</v>
      </c>
      <c r="BP247">
        <v>99.188758850097699</v>
      </c>
    </row>
    <row r="248" spans="1:69" x14ac:dyDescent="0.3">
      <c r="A248" t="s">
        <v>233</v>
      </c>
      <c r="B248" t="s">
        <v>457</v>
      </c>
      <c r="C248" t="s">
        <v>544</v>
      </c>
      <c r="D248" t="s">
        <v>545</v>
      </c>
      <c r="P248">
        <v>105.687850952148</v>
      </c>
      <c r="Q248">
        <v>103.665313720703</v>
      </c>
      <c r="R248">
        <v>95.187408447265597</v>
      </c>
      <c r="S248">
        <v>90.888458251953097</v>
      </c>
      <c r="T248">
        <v>92.192420959472699</v>
      </c>
      <c r="U248">
        <v>92.814071655273395</v>
      </c>
      <c r="V248">
        <v>95.077812194824205</v>
      </c>
      <c r="W248">
        <v>96.179138183593807</v>
      </c>
      <c r="X248">
        <v>96.886009216308594</v>
      </c>
      <c r="Y248">
        <v>99.073516845703097</v>
      </c>
      <c r="Z248">
        <v>100.11997222900401</v>
      </c>
      <c r="AA248">
        <v>102.186820983887</v>
      </c>
      <c r="AB248">
        <v>106.255477905273</v>
      </c>
      <c r="AC248">
        <v>108.615882873535</v>
      </c>
      <c r="AD248">
        <v>109.858352661133</v>
      </c>
      <c r="AE248">
        <v>110.90292358398401</v>
      </c>
      <c r="AF248">
        <v>110.87457275390599</v>
      </c>
      <c r="AG248">
        <v>110.31443023681599</v>
      </c>
      <c r="AH248">
        <v>108.04908752441401</v>
      </c>
      <c r="AI248">
        <v>110.67453765869099</v>
      </c>
      <c r="AJ248">
        <v>111.565231323242</v>
      </c>
      <c r="AK248">
        <v>111.44480895996099</v>
      </c>
      <c r="AL248">
        <v>111.17275238037099</v>
      </c>
      <c r="AM248">
        <v>112.952606201172</v>
      </c>
      <c r="AN248">
        <v>113.33908843994099</v>
      </c>
      <c r="AO248">
        <v>112.887741088867</v>
      </c>
      <c r="AP248">
        <v>112.479858398438</v>
      </c>
      <c r="AQ248">
        <v>113.780921936035</v>
      </c>
      <c r="AR248">
        <v>114.87339019775401</v>
      </c>
      <c r="AS248">
        <v>114.567306518555</v>
      </c>
      <c r="AT248">
        <v>113.504600524902</v>
      </c>
      <c r="AU248">
        <v>112.205703735352</v>
      </c>
      <c r="AV248">
        <v>111.29524230957</v>
      </c>
      <c r="AW248">
        <v>110.606986999512</v>
      </c>
      <c r="AX248">
        <v>109.876342773438</v>
      </c>
      <c r="AY248">
        <v>107.92707824707</v>
      </c>
      <c r="AZ248">
        <v>103.86099243164099</v>
      </c>
      <c r="BA248">
        <v>102.37777709960901</v>
      </c>
      <c r="BB248">
        <v>102.455841064453</v>
      </c>
      <c r="BC248">
        <v>103.629150390625</v>
      </c>
      <c r="BD248">
        <v>103.612007141113</v>
      </c>
      <c r="BE248">
        <v>105.18862915039099</v>
      </c>
      <c r="BF248">
        <v>106.021850585938</v>
      </c>
      <c r="BG248">
        <v>106.86150360107401</v>
      </c>
      <c r="BH248">
        <v>106.851280212402</v>
      </c>
      <c r="BI248">
        <v>106.04474639892599</v>
      </c>
      <c r="BJ248">
        <v>105.55291748046901</v>
      </c>
      <c r="BK248">
        <v>105.10987854003901</v>
      </c>
      <c r="BM248">
        <v>103.975509643555</v>
      </c>
      <c r="BN248">
        <v>104.34262847900401</v>
      </c>
      <c r="BO248">
        <v>104.06365203857401</v>
      </c>
      <c r="BP248">
        <v>104.42421722412099</v>
      </c>
    </row>
    <row r="249" spans="1:69" x14ac:dyDescent="0.3">
      <c r="A249" t="s">
        <v>234</v>
      </c>
      <c r="B249" t="s">
        <v>458</v>
      </c>
      <c r="C249" t="s">
        <v>544</v>
      </c>
      <c r="D249" t="s">
        <v>545</v>
      </c>
      <c r="AS249">
        <v>105.348022460938</v>
      </c>
      <c r="AT249">
        <v>107.175216674805</v>
      </c>
      <c r="AU249">
        <v>107.68141174316401</v>
      </c>
      <c r="AV249">
        <v>104.261337280273</v>
      </c>
      <c r="AW249">
        <v>104.27072906494099</v>
      </c>
      <c r="AX249">
        <v>104.60556030273401</v>
      </c>
      <c r="AY249">
        <v>104.943740844727</v>
      </c>
      <c r="AZ249">
        <v>105.445426940918</v>
      </c>
      <c r="BA249">
        <v>102.86280822753901</v>
      </c>
      <c r="BB249">
        <v>101.92414855957</v>
      </c>
      <c r="BC249">
        <v>104.570068359375</v>
      </c>
      <c r="BD249">
        <v>105.75128936767599</v>
      </c>
      <c r="BE249">
        <v>104.70839691162099</v>
      </c>
      <c r="BF249">
        <v>114.72434997558599</v>
      </c>
      <c r="BG249">
        <v>111.93572235107401</v>
      </c>
      <c r="BH249">
        <v>107.29418182373</v>
      </c>
      <c r="BI249">
        <v>105.28328704834</v>
      </c>
      <c r="BJ249">
        <v>97.491897583007798</v>
      </c>
      <c r="BK249">
        <v>100.93125152587901</v>
      </c>
      <c r="BL249">
        <v>103.96295928955099</v>
      </c>
      <c r="BM249">
        <v>103.296417236328</v>
      </c>
      <c r="BN249">
        <v>102.596397399902</v>
      </c>
      <c r="BO249">
        <v>102.48770141601599</v>
      </c>
    </row>
    <row r="250" spans="1:69" x14ac:dyDescent="0.3">
      <c r="A250" t="s">
        <v>237</v>
      </c>
      <c r="B250" t="s">
        <v>461</v>
      </c>
      <c r="C250" t="s">
        <v>544</v>
      </c>
      <c r="D250" t="s">
        <v>545</v>
      </c>
      <c r="AC250">
        <v>109.684440612793</v>
      </c>
      <c r="AE250">
        <v>101.296112060547</v>
      </c>
      <c r="AF250">
        <v>99.443931579589801</v>
      </c>
      <c r="AI250">
        <v>94.360900878906193</v>
      </c>
      <c r="AL250">
        <v>114.157119750977</v>
      </c>
      <c r="AM250">
        <v>114.194580078125</v>
      </c>
      <c r="AQ250">
        <v>104.64601898193401</v>
      </c>
      <c r="AR250">
        <v>99.053169250488295</v>
      </c>
      <c r="AS250">
        <v>108.823532104492</v>
      </c>
      <c r="AT250">
        <v>101.205673217773</v>
      </c>
      <c r="AU250">
        <v>90.479553222656193</v>
      </c>
      <c r="AV250">
        <v>94.183601379394503</v>
      </c>
      <c r="AW250">
        <v>97.907951354980497</v>
      </c>
      <c r="AX250">
        <v>101.186317443848</v>
      </c>
      <c r="AY250">
        <v>102.600143432617</v>
      </c>
      <c r="BG250">
        <v>103.576751117735</v>
      </c>
      <c r="BH250">
        <v>105.26706231454</v>
      </c>
      <c r="BI250">
        <v>100</v>
      </c>
      <c r="BK250">
        <v>94.978477478027301</v>
      </c>
      <c r="BL250">
        <v>96.486090775988302</v>
      </c>
      <c r="BM250">
        <v>102.034664657121</v>
      </c>
      <c r="BN250">
        <v>113.292117465224</v>
      </c>
      <c r="BO250">
        <v>110.604870384918</v>
      </c>
      <c r="BP250">
        <v>108.909370199693</v>
      </c>
      <c r="BQ250">
        <v>101.138952164009</v>
      </c>
    </row>
    <row r="251" spans="1:69" x14ac:dyDescent="0.3">
      <c r="A251" t="s">
        <v>227</v>
      </c>
      <c r="B251" t="s">
        <v>451</v>
      </c>
      <c r="C251" t="s">
        <v>544</v>
      </c>
      <c r="D251" t="s">
        <v>545</v>
      </c>
      <c r="O251">
        <v>35.757720947265597</v>
      </c>
      <c r="P251">
        <v>37.183300018310497</v>
      </c>
      <c r="Q251">
        <v>39.638580322265597</v>
      </c>
      <c r="R251">
        <v>42.369831085205099</v>
      </c>
      <c r="S251">
        <v>45.6685981750488</v>
      </c>
      <c r="T251">
        <v>55.549491882324197</v>
      </c>
      <c r="U251">
        <v>65.555007934570298</v>
      </c>
      <c r="V251">
        <v>73.365196228027301</v>
      </c>
      <c r="W251">
        <v>92.696182250976605</v>
      </c>
      <c r="X251">
        <v>95.207778930664105</v>
      </c>
      <c r="Y251">
        <v>95.434928894042997</v>
      </c>
      <c r="Z251">
        <v>96.077247619628906</v>
      </c>
      <c r="AA251">
        <v>91.356117248535199</v>
      </c>
      <c r="AB251">
        <v>88.830101013183594</v>
      </c>
      <c r="AC251">
        <v>83.506248474121094</v>
      </c>
      <c r="AD251">
        <v>73.013137817382798</v>
      </c>
      <c r="AE251">
        <v>70.037750244140597</v>
      </c>
      <c r="AF251">
        <v>67.7716064453125</v>
      </c>
      <c r="AG251">
        <v>65.735580444335895</v>
      </c>
      <c r="AH251">
        <v>65.958038330078097</v>
      </c>
      <c r="AI251">
        <v>66.709877014160199</v>
      </c>
      <c r="AJ251">
        <v>67.653068542480497</v>
      </c>
      <c r="AK251">
        <v>67.828598022460895</v>
      </c>
      <c r="AL251">
        <v>68.804252624511705</v>
      </c>
      <c r="AM251">
        <v>68.3502197265625</v>
      </c>
      <c r="AN251">
        <v>68.243881225585895</v>
      </c>
      <c r="AO251">
        <v>67.903587341308594</v>
      </c>
      <c r="AP251">
        <v>68.528350830078097</v>
      </c>
      <c r="AQ251">
        <v>66.870681762695298</v>
      </c>
      <c r="AR251">
        <v>67.879241943359403</v>
      </c>
      <c r="AS251">
        <v>69.492431640625</v>
      </c>
      <c r="AT251">
        <v>75.718116760253906</v>
      </c>
      <c r="AU251">
        <v>90.610237121582003</v>
      </c>
      <c r="AV251">
        <v>96.861076354980497</v>
      </c>
      <c r="AW251">
        <v>101.592483520508</v>
      </c>
      <c r="AX251">
        <v>105.03737640380901</v>
      </c>
      <c r="AY251">
        <v>107.455772399902</v>
      </c>
      <c r="AZ251">
        <v>108.751991271973</v>
      </c>
      <c r="BA251">
        <v>109.176727294922</v>
      </c>
      <c r="BB251">
        <v>103.463706970215</v>
      </c>
      <c r="BC251">
        <v>100.14820098877</v>
      </c>
      <c r="BD251">
        <v>95.088466633314695</v>
      </c>
      <c r="BE251">
        <v>91.973502548260797</v>
      </c>
      <c r="BF251">
        <v>88.830091446754494</v>
      </c>
      <c r="BG251">
        <v>85.936479051468694</v>
      </c>
      <c r="BH251">
        <v>84.220771789550795</v>
      </c>
      <c r="BI251">
        <v>85.280097646057897</v>
      </c>
      <c r="BJ251">
        <v>89.596721000550303</v>
      </c>
      <c r="BK251">
        <v>94.984028224099703</v>
      </c>
      <c r="BL251">
        <v>97.645652081241195</v>
      </c>
      <c r="BM251">
        <v>98.575362240386895</v>
      </c>
      <c r="BN251">
        <v>98.699954180417805</v>
      </c>
      <c r="BO251">
        <v>90.615267228135806</v>
      </c>
      <c r="BP251">
        <v>95.640980409320093</v>
      </c>
      <c r="BQ251">
        <v>92.690265426238099</v>
      </c>
    </row>
    <row r="252" spans="1:69" x14ac:dyDescent="0.3">
      <c r="A252" t="s">
        <v>238</v>
      </c>
      <c r="B252" t="s">
        <v>462</v>
      </c>
      <c r="C252" t="s">
        <v>544</v>
      </c>
      <c r="D252" t="s">
        <v>545</v>
      </c>
      <c r="O252">
        <v>36.814411163330099</v>
      </c>
      <c r="P252">
        <v>38.929561614990199</v>
      </c>
      <c r="Q252">
        <v>37.349281311035199</v>
      </c>
      <c r="R252">
        <v>37.740139007568402</v>
      </c>
      <c r="S252">
        <v>39.464969635009801</v>
      </c>
      <c r="T252">
        <v>42.360458374023402</v>
      </c>
      <c r="U252">
        <v>43.711231231689503</v>
      </c>
      <c r="V252">
        <v>46.521671295166001</v>
      </c>
      <c r="W252">
        <v>47.816520690917997</v>
      </c>
      <c r="X252">
        <v>46.930938720703097</v>
      </c>
      <c r="Y252">
        <v>48.567340850830099</v>
      </c>
      <c r="Z252">
        <v>51.172191619872997</v>
      </c>
      <c r="AA252">
        <v>57.376998901367202</v>
      </c>
      <c r="AB252">
        <v>59.955120086669901</v>
      </c>
      <c r="AC252">
        <v>65.384490966796903</v>
      </c>
      <c r="AD252">
        <v>70.126533508300795</v>
      </c>
      <c r="AE252">
        <v>71.332290649414105</v>
      </c>
      <c r="AF252">
        <v>72.980400085449205</v>
      </c>
      <c r="AG252">
        <v>74.451629638671903</v>
      </c>
      <c r="AH252">
        <v>70.963653564453097</v>
      </c>
      <c r="AI252">
        <v>71.945068359375</v>
      </c>
      <c r="AJ252">
        <v>72.751701354980497</v>
      </c>
      <c r="AK252">
        <v>65.534011840820298</v>
      </c>
      <c r="AL252">
        <v>70.19970703125</v>
      </c>
      <c r="AM252">
        <v>70.233421325683594</v>
      </c>
      <c r="AN252">
        <v>70.332023620605497</v>
      </c>
      <c r="AO252">
        <v>71.2086181640625</v>
      </c>
      <c r="AP252">
        <v>118.066772460938</v>
      </c>
      <c r="AQ252">
        <v>124.29158782959</v>
      </c>
      <c r="AR252">
        <v>129.49314880371099</v>
      </c>
      <c r="AS252">
        <v>130.16061401367199</v>
      </c>
      <c r="AT252">
        <v>132.115478515625</v>
      </c>
      <c r="AU252">
        <v>135.93856811523401</v>
      </c>
      <c r="AV252">
        <v>136.62625122070301</v>
      </c>
      <c r="AW252">
        <v>127.906692504883</v>
      </c>
      <c r="AX252">
        <v>121.473258972168</v>
      </c>
      <c r="AY252">
        <v>120.099899291992</v>
      </c>
      <c r="AZ252">
        <v>119.32501220703099</v>
      </c>
      <c r="BA252">
        <v>122.437309265137</v>
      </c>
      <c r="BB252">
        <v>123.943656921387</v>
      </c>
      <c r="BC252">
        <v>121.312210083008</v>
      </c>
      <c r="BD252">
        <v>113.871620178223</v>
      </c>
      <c r="BE252">
        <v>113.70002746582</v>
      </c>
      <c r="BF252">
        <v>112.329948425293</v>
      </c>
      <c r="BH252">
        <v>104.249229431152</v>
      </c>
      <c r="BI252">
        <v>106.540283203125</v>
      </c>
      <c r="BJ252">
        <v>106.16957855224599</v>
      </c>
    </row>
    <row r="253" spans="1:69" x14ac:dyDescent="0.3">
      <c r="A253" t="s">
        <v>239</v>
      </c>
      <c r="B253" t="s">
        <v>463</v>
      </c>
      <c r="C253" t="s">
        <v>544</v>
      </c>
      <c r="D253" t="s">
        <v>545</v>
      </c>
      <c r="AS253">
        <v>112.915328979492</v>
      </c>
      <c r="AT253">
        <v>119.877792358398</v>
      </c>
      <c r="AU253">
        <v>127.055168151855</v>
      </c>
      <c r="AV253">
        <v>99.243919372558594</v>
      </c>
      <c r="AW253">
        <v>98.863052368164105</v>
      </c>
      <c r="AX253">
        <v>109.22405242919901</v>
      </c>
      <c r="AY253">
        <v>103.984046936035</v>
      </c>
      <c r="AZ253">
        <v>102.665367126465</v>
      </c>
      <c r="BA253">
        <v>101.713829040527</v>
      </c>
      <c r="BB253">
        <v>100.661819458008</v>
      </c>
      <c r="BC253">
        <v>100.067630734888</v>
      </c>
      <c r="BD253">
        <v>98.931456537504104</v>
      </c>
      <c r="BE253">
        <v>97.141991764541402</v>
      </c>
      <c r="BF253">
        <v>96.3140767527901</v>
      </c>
      <c r="BG253">
        <v>95.472042770713699</v>
      </c>
      <c r="BH253">
        <v>87.850993068899896</v>
      </c>
      <c r="BI253">
        <v>87.409195277908495</v>
      </c>
      <c r="BJ253">
        <v>88.214089893162097</v>
      </c>
      <c r="BK253">
        <v>88.572880653914098</v>
      </c>
      <c r="BL253">
        <v>90.680965327884707</v>
      </c>
      <c r="BM253">
        <v>91.112213449300697</v>
      </c>
      <c r="BN253">
        <v>91.148704724642798</v>
      </c>
      <c r="BO253">
        <v>92.771163449363399</v>
      </c>
      <c r="BQ253">
        <v>93.306319036135605</v>
      </c>
    </row>
    <row r="254" spans="1:69" x14ac:dyDescent="0.3">
      <c r="A254" t="s">
        <v>12</v>
      </c>
      <c r="B254" t="s">
        <v>632</v>
      </c>
      <c r="C254" t="s">
        <v>544</v>
      </c>
      <c r="D254" t="s">
        <v>545</v>
      </c>
      <c r="O254">
        <v>105.72535705566401</v>
      </c>
      <c r="P254">
        <v>98.457977294921903</v>
      </c>
      <c r="Q254">
        <v>97.408363342285199</v>
      </c>
      <c r="R254">
        <v>99.267929077148395</v>
      </c>
      <c r="S254">
        <v>99.147209167480497</v>
      </c>
      <c r="T254">
        <v>103.133659362793</v>
      </c>
      <c r="U254">
        <v>106.586860656738</v>
      </c>
      <c r="V254">
        <v>106.32927703857401</v>
      </c>
      <c r="W254">
        <v>104.99452972412099</v>
      </c>
      <c r="X254">
        <v>105.507278442383</v>
      </c>
      <c r="Y254">
        <v>106.31404876709</v>
      </c>
      <c r="Z254">
        <v>107.33611297607401</v>
      </c>
      <c r="AA254">
        <v>109.023483276367</v>
      </c>
      <c r="AB254">
        <v>110.94692993164099</v>
      </c>
      <c r="AC254">
        <v>113.381729125977</v>
      </c>
      <c r="AD254">
        <v>116.959930419922</v>
      </c>
      <c r="AE254">
        <v>118.450736999512</v>
      </c>
      <c r="AF254">
        <v>120.080726623535</v>
      </c>
      <c r="AG254">
        <v>119.58376312255901</v>
      </c>
      <c r="AH254">
        <v>117.583381652832</v>
      </c>
      <c r="AI254">
        <v>115.436820983887</v>
      </c>
      <c r="AJ254">
        <v>113.28562164306599</v>
      </c>
      <c r="AK254">
        <v>111.833129882812</v>
      </c>
      <c r="AL254">
        <v>110.6962890625</v>
      </c>
      <c r="AM254">
        <v>110.056831359863</v>
      </c>
      <c r="AN254">
        <v>108.19846343994099</v>
      </c>
      <c r="AO254">
        <v>107.70207977294901</v>
      </c>
      <c r="AP254">
        <v>109.263961791992</v>
      </c>
      <c r="AQ254">
        <v>107.930656433105</v>
      </c>
      <c r="AR254">
        <v>111.354209899902</v>
      </c>
      <c r="AS254">
        <v>111.432891845703</v>
      </c>
      <c r="AT254">
        <v>112.205947875977</v>
      </c>
      <c r="AU254">
        <v>111.269081115723</v>
      </c>
      <c r="AV254">
        <v>109.755821228027</v>
      </c>
      <c r="AW254">
        <v>108.75811767578099</v>
      </c>
      <c r="AX254">
        <v>107.47477722168</v>
      </c>
      <c r="AY254">
        <v>105.90976715087901</v>
      </c>
      <c r="AZ254">
        <v>107.40016937255901</v>
      </c>
      <c r="BA254">
        <v>107.420280456543</v>
      </c>
      <c r="BB254">
        <v>107.32122802734401</v>
      </c>
      <c r="BC254">
        <v>106.521278381348</v>
      </c>
      <c r="BD254">
        <v>106.27687072753901</v>
      </c>
      <c r="BE254">
        <v>105.83831024169901</v>
      </c>
      <c r="BF254">
        <v>106.15769958496099</v>
      </c>
      <c r="BG254">
        <v>103.306922912598</v>
      </c>
      <c r="BH254">
        <v>102.384979248047</v>
      </c>
      <c r="BI254">
        <v>102.046279907227</v>
      </c>
      <c r="BJ254">
        <v>101.69480133056599</v>
      </c>
      <c r="BK254">
        <v>101.506790161133</v>
      </c>
      <c r="BL254">
        <v>101.362678527832</v>
      </c>
      <c r="BM254">
        <v>101.335487365723</v>
      </c>
      <c r="BN254">
        <v>100.98143005371099</v>
      </c>
      <c r="BO254">
        <v>101.099327087402</v>
      </c>
      <c r="BP254">
        <v>100.309608459473</v>
      </c>
      <c r="BQ254">
        <v>100.673202514648</v>
      </c>
    </row>
    <row r="255" spans="1:69" x14ac:dyDescent="0.3">
      <c r="A255" t="s">
        <v>243</v>
      </c>
      <c r="B255" t="s">
        <v>467</v>
      </c>
      <c r="C255" t="s">
        <v>544</v>
      </c>
      <c r="D255" t="s">
        <v>545</v>
      </c>
      <c r="AS255">
        <v>110.200187683105</v>
      </c>
      <c r="AT255">
        <v>109.692268371582</v>
      </c>
      <c r="AU255">
        <v>111.09324645996099</v>
      </c>
      <c r="AV255">
        <v>111.05596923828099</v>
      </c>
      <c r="AW255">
        <v>111.08836364746099</v>
      </c>
      <c r="AX255">
        <v>110.983726501465</v>
      </c>
      <c r="AY255">
        <v>111.68821716308599</v>
      </c>
      <c r="AZ255">
        <v>111.181259155273</v>
      </c>
      <c r="BA255">
        <v>110.91729736328099</v>
      </c>
      <c r="BB255">
        <v>110.820098876953</v>
      </c>
      <c r="BC255">
        <v>109.976485423214</v>
      </c>
      <c r="BD255">
        <v>109.464016342435</v>
      </c>
      <c r="BE255">
        <v>108.71352566009</v>
      </c>
      <c r="BF255">
        <v>108.655161774964</v>
      </c>
      <c r="BG255">
        <v>108.393033302718</v>
      </c>
      <c r="BH255">
        <v>108.15931821237599</v>
      </c>
      <c r="BI255">
        <v>108.082291663033</v>
      </c>
      <c r="BJ255">
        <v>107.146529019901</v>
      </c>
      <c r="BK255">
        <v>105.119927660277</v>
      </c>
      <c r="BL255">
        <v>104.354154032747</v>
      </c>
      <c r="BM255">
        <v>105.236604559537</v>
      </c>
      <c r="BN255">
        <v>107.99080657959</v>
      </c>
      <c r="BO255">
        <v>108.822761535645</v>
      </c>
      <c r="BP255">
        <v>104.532465643859</v>
      </c>
    </row>
    <row r="256" spans="1:69" x14ac:dyDescent="0.3">
      <c r="A256" t="s">
        <v>242</v>
      </c>
      <c r="B256" t="s">
        <v>466</v>
      </c>
      <c r="C256" t="s">
        <v>544</v>
      </c>
      <c r="D256" t="s">
        <v>545</v>
      </c>
      <c r="AX256">
        <v>101.8740234375</v>
      </c>
      <c r="BF256">
        <v>99.455436706542997</v>
      </c>
      <c r="BG256">
        <v>99.673377990722699</v>
      </c>
      <c r="BH256">
        <v>100.299911499023</v>
      </c>
      <c r="BI256">
        <v>101.36286163330099</v>
      </c>
      <c r="BJ256">
        <v>101.82144165039099</v>
      </c>
      <c r="BK256">
        <v>101.256561279297</v>
      </c>
      <c r="BL256">
        <v>100.98130035400401</v>
      </c>
      <c r="BM256">
        <v>100.305793762207</v>
      </c>
      <c r="BN256">
        <v>98.305488586425795</v>
      </c>
      <c r="BO256">
        <v>96.971733093261705</v>
      </c>
    </row>
    <row r="257" spans="1:70" x14ac:dyDescent="0.3">
      <c r="A257" t="s">
        <v>244</v>
      </c>
      <c r="B257" t="s">
        <v>468</v>
      </c>
      <c r="C257" t="s">
        <v>544</v>
      </c>
      <c r="D257" t="s">
        <v>545</v>
      </c>
      <c r="AS257">
        <v>99.152236938476605</v>
      </c>
      <c r="AT257">
        <v>98.114479064941406</v>
      </c>
      <c r="AU257">
        <v>97.982559204101605</v>
      </c>
      <c r="AV257">
        <v>97.271499633789105</v>
      </c>
      <c r="AW257">
        <v>96.990936279296903</v>
      </c>
      <c r="AX257">
        <v>96.85986328125</v>
      </c>
      <c r="AY257">
        <v>96.196479797363295</v>
      </c>
      <c r="AZ257">
        <v>96.355148315429702</v>
      </c>
      <c r="BA257">
        <v>96.605293273925795</v>
      </c>
      <c r="BB257">
        <v>96.9954833984375</v>
      </c>
      <c r="BC257">
        <v>96.509224561027196</v>
      </c>
      <c r="BD257">
        <v>95.384020309390195</v>
      </c>
      <c r="BE257">
        <v>95.121483817559806</v>
      </c>
      <c r="BF257">
        <v>95.446454593408504</v>
      </c>
      <c r="BG257">
        <v>96.776951798451904</v>
      </c>
      <c r="BH257">
        <v>96.846962724417295</v>
      </c>
      <c r="BI257">
        <v>97.662298498589806</v>
      </c>
      <c r="BJ257">
        <v>98.048652690928193</v>
      </c>
      <c r="BK257">
        <v>98.286652165315402</v>
      </c>
      <c r="BL257">
        <v>98.2569298360836</v>
      </c>
      <c r="BM257">
        <v>98.615310525126006</v>
      </c>
      <c r="BN257">
        <v>97.928925584927896</v>
      </c>
      <c r="BO257">
        <v>93.909978029013899</v>
      </c>
      <c r="BP257">
        <v>93.488825922536705</v>
      </c>
      <c r="BQ257">
        <v>94.431670066414895</v>
      </c>
      <c r="BR257">
        <v>120.864046720012</v>
      </c>
    </row>
    <row r="258" spans="1:70" x14ac:dyDescent="0.3">
      <c r="A258" t="s">
        <v>220</v>
      </c>
      <c r="B258" t="s">
        <v>442</v>
      </c>
      <c r="C258" t="s">
        <v>544</v>
      </c>
      <c r="D258" t="s">
        <v>545</v>
      </c>
      <c r="P258">
        <v>134.70625305175801</v>
      </c>
      <c r="Q258">
        <v>163.335693359375</v>
      </c>
      <c r="S258">
        <v>102.396369934082</v>
      </c>
      <c r="T258">
        <v>98.180778503417997</v>
      </c>
      <c r="U258">
        <v>103.602920532227</v>
      </c>
      <c r="AA258">
        <v>101.95400238037099</v>
      </c>
      <c r="AC258">
        <v>108.01943969726599</v>
      </c>
      <c r="AE258">
        <v>120.155570983887</v>
      </c>
      <c r="AF258">
        <v>109.48503875732401</v>
      </c>
      <c r="AJ258">
        <v>108.843872070312</v>
      </c>
      <c r="AM258">
        <v>114.15608215332</v>
      </c>
      <c r="AQ258">
        <v>118.66455078125</v>
      </c>
      <c r="AR258">
        <v>118.02011108398401</v>
      </c>
      <c r="AS258">
        <v>114.669143676758</v>
      </c>
      <c r="AT258">
        <v>114.241172790527</v>
      </c>
      <c r="AU258">
        <v>110.481407165527</v>
      </c>
      <c r="AV258">
        <v>115.84478759765599</v>
      </c>
      <c r="AW258">
        <v>110.72104644775401</v>
      </c>
      <c r="AX258">
        <v>113.44895172119099</v>
      </c>
      <c r="AZ258">
        <v>107.057403564453</v>
      </c>
      <c r="BA258">
        <v>107.74887084960901</v>
      </c>
      <c r="BB258">
        <v>106.77504730224599</v>
      </c>
      <c r="BC258">
        <v>106.8388671875</v>
      </c>
      <c r="BD258">
        <v>102.390617370605</v>
      </c>
      <c r="BE258">
        <v>109.27288818359401</v>
      </c>
      <c r="BF258">
        <v>110.921836853027</v>
      </c>
      <c r="BG258">
        <v>112.041053771973</v>
      </c>
      <c r="BH258">
        <v>113.44879913330099</v>
      </c>
      <c r="BI258">
        <v>113.28003692627</v>
      </c>
      <c r="BJ258">
        <v>113.04347991943401</v>
      </c>
      <c r="BK258">
        <v>115.15574645996099</v>
      </c>
      <c r="BP258">
        <v>111.270698547363</v>
      </c>
    </row>
    <row r="259" spans="1:70" x14ac:dyDescent="0.3">
      <c r="A259" t="s">
        <v>246</v>
      </c>
      <c r="B259" t="s">
        <v>470</v>
      </c>
      <c r="C259" t="s">
        <v>544</v>
      </c>
      <c r="D259" t="s">
        <v>545</v>
      </c>
      <c r="P259">
        <v>89.086311340332003</v>
      </c>
      <c r="Q259">
        <v>90.571968078613295</v>
      </c>
      <c r="R259">
        <v>91.304153442382798</v>
      </c>
      <c r="S259">
        <v>90.820861816406193</v>
      </c>
      <c r="T259">
        <v>92.039413452148395</v>
      </c>
      <c r="U259">
        <v>95.639892578125</v>
      </c>
      <c r="V259">
        <v>98.168876647949205</v>
      </c>
      <c r="W259">
        <v>101.076736450195</v>
      </c>
      <c r="X259">
        <v>102.413162231445</v>
      </c>
      <c r="Y259">
        <v>104.085968017578</v>
      </c>
      <c r="Z259">
        <v>105.414100646973</v>
      </c>
      <c r="AA259">
        <v>106.07884216308599</v>
      </c>
      <c r="AB259">
        <v>105.254440307617</v>
      </c>
      <c r="AC259">
        <v>103.982536315918</v>
      </c>
      <c r="AD259">
        <v>104.39527130127</v>
      </c>
      <c r="AE259">
        <v>104.34030914306599</v>
      </c>
      <c r="AF259">
        <v>103.78646850585901</v>
      </c>
      <c r="AG259">
        <v>103.345626831055</v>
      </c>
      <c r="AH259">
        <v>102.94651031494099</v>
      </c>
      <c r="AI259">
        <v>103.632537841797</v>
      </c>
      <c r="AJ259">
        <v>107.00602722168</v>
      </c>
      <c r="AK259">
        <v>108.725692749023</v>
      </c>
      <c r="AL259">
        <v>107.152236938477</v>
      </c>
      <c r="AO259">
        <v>98.761299133300795</v>
      </c>
      <c r="AP259">
        <v>100.005096435547</v>
      </c>
      <c r="AR259">
        <v>98.338996887207003</v>
      </c>
      <c r="AS259">
        <v>99.864990234375</v>
      </c>
      <c r="AT259">
        <v>102.415657043457</v>
      </c>
      <c r="AU259">
        <v>104.676307678223</v>
      </c>
      <c r="AV259">
        <v>102.77710723877</v>
      </c>
      <c r="AW259">
        <v>102.658088684082</v>
      </c>
      <c r="AX259">
        <v>102.275398254395</v>
      </c>
      <c r="AY259">
        <v>102.06349945068401</v>
      </c>
      <c r="AZ259">
        <v>103.891387939453</v>
      </c>
      <c r="BA259">
        <v>101.03289031982401</v>
      </c>
      <c r="BB259">
        <v>101.23586273193401</v>
      </c>
      <c r="BC259">
        <v>100.68515777587901</v>
      </c>
      <c r="BD259">
        <v>100.664756774902</v>
      </c>
      <c r="BE259">
        <v>100.787887573242</v>
      </c>
      <c r="BF259">
        <v>101.16229248046901</v>
      </c>
      <c r="BG259">
        <v>100.276649475098</v>
      </c>
      <c r="BH259">
        <v>99.876182556152301</v>
      </c>
      <c r="BI259">
        <v>97.506591796875</v>
      </c>
      <c r="BJ259">
        <v>95.050720214843807</v>
      </c>
      <c r="BO259">
        <v>109.259559631348</v>
      </c>
      <c r="BP259">
        <v>111.130409240723</v>
      </c>
      <c r="BQ259">
        <v>113.693878173828</v>
      </c>
    </row>
    <row r="260" spans="1:70" x14ac:dyDescent="0.3">
      <c r="A260" t="s">
        <v>65</v>
      </c>
      <c r="B260" t="s">
        <v>283</v>
      </c>
      <c r="C260" t="s">
        <v>544</v>
      </c>
      <c r="D260" t="s">
        <v>545</v>
      </c>
      <c r="P260">
        <v>130.98420715332</v>
      </c>
      <c r="Q260">
        <v>122.98851013183599</v>
      </c>
      <c r="R260">
        <v>128.872802734375</v>
      </c>
      <c r="S260">
        <v>111.52239227294901</v>
      </c>
      <c r="T260">
        <v>123.303833007812</v>
      </c>
      <c r="U260">
        <v>121.29630279541</v>
      </c>
      <c r="X260">
        <v>112.625701904297</v>
      </c>
      <c r="Z260">
        <v>109.241836547852</v>
      </c>
      <c r="AB260">
        <v>110.38462066650401</v>
      </c>
      <c r="AC260">
        <v>113.79501342773401</v>
      </c>
      <c r="AD260">
        <v>114.944442749023</v>
      </c>
      <c r="AI260">
        <v>114.082359313965</v>
      </c>
      <c r="AJ260">
        <v>116.302192687988</v>
      </c>
      <c r="AK260">
        <v>119.46209716796901</v>
      </c>
      <c r="AL260">
        <v>122.538612365723</v>
      </c>
      <c r="AM260">
        <v>118.52203369140599</v>
      </c>
      <c r="AN260">
        <v>120.412841796875</v>
      </c>
      <c r="AR260">
        <v>113.363487243652</v>
      </c>
      <c r="AS260">
        <v>111.543090820312</v>
      </c>
      <c r="AT260">
        <v>108.271560668945</v>
      </c>
      <c r="AU260">
        <v>108.616691589355</v>
      </c>
      <c r="AV260">
        <v>106.799850463867</v>
      </c>
      <c r="AW260">
        <v>107.827423095703</v>
      </c>
      <c r="AX260">
        <v>109.234832763672</v>
      </c>
      <c r="AY260">
        <v>108.500366210938</v>
      </c>
      <c r="AZ260">
        <v>112.36618804931599</v>
      </c>
      <c r="BB260">
        <v>112.27565765380901</v>
      </c>
      <c r="BC260">
        <v>111.45543175487499</v>
      </c>
      <c r="BD260">
        <v>108.731808731809</v>
      </c>
      <c r="BE260">
        <v>104.872389791183</v>
      </c>
      <c r="BF260">
        <v>101.782871696912</v>
      </c>
      <c r="BG260">
        <v>97.733373098717607</v>
      </c>
      <c r="BH260">
        <v>96.383467278989698</v>
      </c>
      <c r="BI260">
        <v>91.993327773144301</v>
      </c>
      <c r="BJ260">
        <v>100.15019525383001</v>
      </c>
      <c r="BK260">
        <v>78.589185829707901</v>
      </c>
      <c r="BL260">
        <v>85.244885306881599</v>
      </c>
      <c r="BM260">
        <v>86.852207293665998</v>
      </c>
      <c r="BN260">
        <v>92.6870177792687</v>
      </c>
      <c r="BO260">
        <v>73.171569824218807</v>
      </c>
      <c r="BP260">
        <v>87.316561844863699</v>
      </c>
      <c r="BQ260">
        <v>72.779991149902301</v>
      </c>
    </row>
    <row r="261" spans="1:70" x14ac:dyDescent="0.3">
      <c r="A261" t="s">
        <v>248</v>
      </c>
      <c r="B261" t="s">
        <v>472</v>
      </c>
      <c r="C261" t="s">
        <v>544</v>
      </c>
      <c r="D261" t="s">
        <v>545</v>
      </c>
      <c r="AA261">
        <v>119.274040222168</v>
      </c>
      <c r="AB261">
        <v>124.228843688965</v>
      </c>
      <c r="AC261">
        <v>124.098281860352</v>
      </c>
      <c r="AD261">
        <v>122.552238464355</v>
      </c>
      <c r="AE261">
        <v>119.98715972900401</v>
      </c>
      <c r="AJ261">
        <v>119.724082946777</v>
      </c>
      <c r="AK261">
        <v>121.90991973877</v>
      </c>
      <c r="AL261">
        <v>124.08497619628901</v>
      </c>
    </row>
    <row r="262" spans="1:70" x14ac:dyDescent="0.3">
      <c r="A262" t="s">
        <v>247</v>
      </c>
      <c r="B262" t="s">
        <v>471</v>
      </c>
      <c r="C262" t="s">
        <v>544</v>
      </c>
      <c r="D262" t="s">
        <v>545</v>
      </c>
      <c r="U262">
        <v>122.269721984863</v>
      </c>
      <c r="V262">
        <v>125.82382202148401</v>
      </c>
      <c r="W262">
        <v>123.55283355712901</v>
      </c>
      <c r="X262">
        <v>112.34538269043</v>
      </c>
      <c r="Y262">
        <v>117.02285766601599</v>
      </c>
      <c r="Z262">
        <v>113.04029846191401</v>
      </c>
      <c r="AB262">
        <v>107.12721252441401</v>
      </c>
      <c r="AC262">
        <v>106.49437713623</v>
      </c>
      <c r="AD262">
        <v>105.153312683105</v>
      </c>
      <c r="AE262">
        <v>104.704452514648</v>
      </c>
      <c r="AF262">
        <v>107.51531219482401</v>
      </c>
      <c r="AG262">
        <v>107.93759918212901</v>
      </c>
      <c r="AH262">
        <v>105.79669952392599</v>
      </c>
      <c r="AI262">
        <v>102.543182373047</v>
      </c>
      <c r="AJ262">
        <v>103.643630981445</v>
      </c>
      <c r="AK262">
        <v>104.49942779541</v>
      </c>
      <c r="AL262">
        <v>108.639862060547</v>
      </c>
      <c r="AM262">
        <v>111.88600921630901</v>
      </c>
      <c r="AN262">
        <v>115.78684997558599</v>
      </c>
      <c r="AO262">
        <v>118.32006072998</v>
      </c>
      <c r="AP262">
        <v>120.42115020752</v>
      </c>
      <c r="AQ262">
        <v>119.42286682128901</v>
      </c>
      <c r="AR262">
        <v>116.10540771484401</v>
      </c>
      <c r="AS262">
        <v>113.52955627441401</v>
      </c>
      <c r="AT262">
        <v>111.29509735107401</v>
      </c>
      <c r="AU262">
        <v>109.35701751709</v>
      </c>
      <c r="AV262">
        <v>107.77010345459</v>
      </c>
      <c r="AW262">
        <v>106.744956970215</v>
      </c>
      <c r="AX262">
        <v>104.89729309082</v>
      </c>
      <c r="AY262">
        <v>103.91251373291</v>
      </c>
      <c r="AZ262">
        <v>102.282257080078</v>
      </c>
      <c r="BA262">
        <v>100.98104095459</v>
      </c>
      <c r="BB262">
        <v>100.057693481445</v>
      </c>
      <c r="BC262">
        <v>100.919677734375</v>
      </c>
      <c r="BD262">
        <v>101.38405161144701</v>
      </c>
      <c r="BE262">
        <v>102.054953695526</v>
      </c>
      <c r="BF262">
        <v>102.26236718275599</v>
      </c>
      <c r="BG262">
        <v>103.083557760139</v>
      </c>
      <c r="BH262">
        <v>103.27837206506899</v>
      </c>
      <c r="BI262">
        <v>105.94759748119699</v>
      </c>
      <c r="BJ262">
        <v>104.437659436385</v>
      </c>
      <c r="BK262">
        <v>104.190504718464</v>
      </c>
      <c r="BL262">
        <v>103.337272102979</v>
      </c>
      <c r="BM262">
        <v>102.847744602601</v>
      </c>
      <c r="BN262">
        <v>103.39128272388101</v>
      </c>
      <c r="BO262">
        <v>104.12939278594899</v>
      </c>
      <c r="BP262">
        <v>105.170807361038</v>
      </c>
      <c r="BQ262">
        <v>106.332886485835</v>
      </c>
    </row>
    <row r="263" spans="1:70" x14ac:dyDescent="0.3">
      <c r="A263" t="s">
        <v>245</v>
      </c>
      <c r="B263" t="s">
        <v>469</v>
      </c>
      <c r="C263" t="s">
        <v>544</v>
      </c>
      <c r="D263" t="s">
        <v>545</v>
      </c>
      <c r="O263">
        <v>123.202590942383</v>
      </c>
      <c r="P263">
        <v>123.377563476562</v>
      </c>
      <c r="Q263">
        <v>118.00266265869099</v>
      </c>
      <c r="R263">
        <v>118.94229888916</v>
      </c>
      <c r="S263">
        <v>120.264373779297</v>
      </c>
      <c r="T263">
        <v>119.492179870605</v>
      </c>
      <c r="U263">
        <v>120.140869140625</v>
      </c>
      <c r="V263">
        <v>120.33551025390599</v>
      </c>
      <c r="W263">
        <v>120.85756683349599</v>
      </c>
      <c r="X263">
        <v>122.057090759277</v>
      </c>
      <c r="Y263">
        <v>114.889617919922</v>
      </c>
      <c r="Z263">
        <v>110.443809509277</v>
      </c>
      <c r="AB263">
        <v>102.412521362305</v>
      </c>
      <c r="AD263">
        <v>115.00251007080099</v>
      </c>
      <c r="AE263">
        <v>117.98220062255901</v>
      </c>
      <c r="AF263">
        <v>116.60366058349599</v>
      </c>
      <c r="AG263">
        <v>116.31333160400401</v>
      </c>
      <c r="AH263">
        <v>114.27004241943401</v>
      </c>
      <c r="AI263">
        <v>103.831466674805</v>
      </c>
      <c r="AJ263">
        <v>96.106002807617202</v>
      </c>
      <c r="AK263">
        <v>97.850540161132798</v>
      </c>
      <c r="AL263">
        <v>109.028182983398</v>
      </c>
      <c r="AM263">
        <v>107.16748046875</v>
      </c>
      <c r="AP263">
        <v>104.644340515137</v>
      </c>
      <c r="AQ263">
        <v>111.27084350585901</v>
      </c>
      <c r="AR263">
        <v>109.37908172607401</v>
      </c>
      <c r="AS263">
        <v>112.03441619873</v>
      </c>
      <c r="AT263">
        <v>112.96485900878901</v>
      </c>
      <c r="AU263">
        <v>114.861137390137</v>
      </c>
      <c r="AV263">
        <v>120.06706237793</v>
      </c>
      <c r="AW263">
        <v>118.650260925293</v>
      </c>
      <c r="AX263">
        <v>117.433708190918</v>
      </c>
      <c r="AY263">
        <v>112.991249084473</v>
      </c>
      <c r="AZ263">
        <v>114.875457763672</v>
      </c>
      <c r="BA263">
        <v>116.41520690918</v>
      </c>
      <c r="BB263">
        <v>115.380256652832</v>
      </c>
      <c r="BC263">
        <v>122.730741733738</v>
      </c>
      <c r="BF263">
        <v>123.92639749694401</v>
      </c>
      <c r="BH263">
        <v>121.881393432617</v>
      </c>
      <c r="BL263">
        <v>125.506535236654</v>
      </c>
      <c r="BM263">
        <v>125.124809265137</v>
      </c>
      <c r="BN263">
        <v>122.872890234772</v>
      </c>
      <c r="BO263">
        <v>118.36653235534899</v>
      </c>
      <c r="BP263">
        <v>113.170782080259</v>
      </c>
      <c r="BQ263">
        <v>112.491972007523</v>
      </c>
    </row>
    <row r="264" spans="1:70" x14ac:dyDescent="0.3">
      <c r="A264" t="s">
        <v>633</v>
      </c>
      <c r="B264" t="s">
        <v>634</v>
      </c>
      <c r="C264" t="s">
        <v>544</v>
      </c>
      <c r="D264" t="s">
        <v>545</v>
      </c>
      <c r="O264">
        <v>94.347976684570298</v>
      </c>
      <c r="P264">
        <v>82.036071777343807</v>
      </c>
      <c r="Q264">
        <v>82.424880981445298</v>
      </c>
      <c r="R264">
        <v>84.307121276855497</v>
      </c>
      <c r="S264">
        <v>84.600379943847699</v>
      </c>
      <c r="T264">
        <v>86.658042907714801</v>
      </c>
      <c r="U264">
        <v>88.303047180175795</v>
      </c>
      <c r="V264">
        <v>89.123069763183594</v>
      </c>
      <c r="W264">
        <v>88.593811035156193</v>
      </c>
      <c r="X264">
        <v>88.963699340820298</v>
      </c>
      <c r="Y264">
        <v>90.905647277832003</v>
      </c>
      <c r="Z264">
        <v>91.862159729003906</v>
      </c>
      <c r="AA264">
        <v>93.377899169921903</v>
      </c>
      <c r="AB264">
        <v>94.342658996582003</v>
      </c>
      <c r="AC264">
        <v>95.335899353027301</v>
      </c>
      <c r="AD264">
        <v>96.211387634277301</v>
      </c>
      <c r="AE264">
        <v>96.471420288085895</v>
      </c>
      <c r="AF264">
        <v>96.835853576660199</v>
      </c>
      <c r="AG264">
        <v>97.937316894531193</v>
      </c>
      <c r="AH264">
        <v>97.480186462402301</v>
      </c>
      <c r="AI264">
        <v>96.423828125</v>
      </c>
      <c r="AJ264">
        <v>96.138359069824205</v>
      </c>
      <c r="AK264">
        <v>96.340026855468807</v>
      </c>
      <c r="AL264">
        <v>96.469833374023395</v>
      </c>
      <c r="AM264">
        <v>96.966941833496094</v>
      </c>
      <c r="AN264">
        <v>96.507606506347699</v>
      </c>
      <c r="AO264">
        <v>96.470672607421903</v>
      </c>
      <c r="AP264">
        <v>97.831451416015597</v>
      </c>
      <c r="AQ264">
        <v>97.179496765136705</v>
      </c>
      <c r="AR264">
        <v>98.541328430175795</v>
      </c>
      <c r="AS264">
        <v>99.119873046875</v>
      </c>
      <c r="AT264">
        <v>99.164482116699205</v>
      </c>
      <c r="AU264">
        <v>99.444160461425795</v>
      </c>
      <c r="AV264">
        <v>100.94140625</v>
      </c>
      <c r="AW264">
        <v>101.587272644043</v>
      </c>
      <c r="AX264">
        <v>101.717559814453</v>
      </c>
      <c r="AY264">
        <v>101.72736358642599</v>
      </c>
      <c r="AZ264">
        <v>102.686042785645</v>
      </c>
      <c r="BA264">
        <v>102.902557373047</v>
      </c>
      <c r="BB264">
        <v>102.71140289306599</v>
      </c>
      <c r="BC264">
        <v>102.512619018555</v>
      </c>
      <c r="BD264">
        <v>102.36930847168</v>
      </c>
      <c r="BE264">
        <v>102.89511871337901</v>
      </c>
      <c r="BF264">
        <v>102.98178863525401</v>
      </c>
      <c r="BG264">
        <v>101.604377746582</v>
      </c>
      <c r="BH264">
        <v>100.99990081787099</v>
      </c>
      <c r="BI264">
        <v>102.124237060547</v>
      </c>
      <c r="BJ264">
        <v>101.75066375732401</v>
      </c>
      <c r="BK264">
        <v>99.144508361816406</v>
      </c>
      <c r="BL264">
        <v>99.144943237304702</v>
      </c>
      <c r="BM264">
        <v>99.632492065429702</v>
      </c>
      <c r="BN264">
        <v>99.447410583496094</v>
      </c>
      <c r="BO264">
        <v>100.37085723877</v>
      </c>
      <c r="BP264">
        <v>100.728790283203</v>
      </c>
      <c r="BQ264">
        <v>102.15940093994099</v>
      </c>
    </row>
    <row r="265" spans="1:70" x14ac:dyDescent="0.3">
      <c r="A265" t="s">
        <v>200</v>
      </c>
      <c r="B265" t="s">
        <v>420</v>
      </c>
      <c r="C265" t="s">
        <v>544</v>
      </c>
      <c r="D265" t="s">
        <v>545</v>
      </c>
      <c r="O265">
        <v>84.035873413085895</v>
      </c>
      <c r="P265">
        <v>84.609909057617202</v>
      </c>
      <c r="Q265">
        <v>86.492752075195298</v>
      </c>
      <c r="R265">
        <v>91.564491271972699</v>
      </c>
      <c r="T265">
        <v>93.800819396972699</v>
      </c>
      <c r="U265">
        <v>93.425636291503906</v>
      </c>
      <c r="V265">
        <v>93.833267211914105</v>
      </c>
      <c r="W265">
        <v>93.766189575195298</v>
      </c>
      <c r="X265">
        <v>95.038337707519503</v>
      </c>
      <c r="Y265">
        <v>92.798538208007798</v>
      </c>
      <c r="Z265">
        <v>91.213211059570298</v>
      </c>
      <c r="AA265">
        <v>89.874046325683594</v>
      </c>
      <c r="AB265">
        <v>91.826019287109403</v>
      </c>
      <c r="AE265">
        <v>99.416519165039105</v>
      </c>
      <c r="AM265">
        <v>98.869781494140597</v>
      </c>
      <c r="AN265">
        <v>99.944877624511705</v>
      </c>
      <c r="AO265">
        <v>97.908508300781193</v>
      </c>
      <c r="AP265">
        <v>98.001716613769503</v>
      </c>
      <c r="AQ265">
        <v>96.882278442382798</v>
      </c>
      <c r="AR265">
        <v>95.564346313476605</v>
      </c>
      <c r="AS265">
        <v>96.674720764160199</v>
      </c>
      <c r="AT265">
        <v>98.233993530273395</v>
      </c>
      <c r="AU265">
        <v>100.272598266602</v>
      </c>
      <c r="AV265">
        <v>101.360877990723</v>
      </c>
      <c r="AW265">
        <v>102.40113067627</v>
      </c>
      <c r="AX265">
        <v>102.36032867431599</v>
      </c>
      <c r="AY265">
        <v>102.45770263671901</v>
      </c>
      <c r="AZ265">
        <v>103.18512725830099</v>
      </c>
      <c r="BB265">
        <v>102.942909240723</v>
      </c>
      <c r="BC265">
        <v>107.650732168777</v>
      </c>
      <c r="BD265">
        <v>104.303479903574</v>
      </c>
      <c r="BE265">
        <v>104.036920795239</v>
      </c>
      <c r="BG265">
        <v>106.647163211452</v>
      </c>
      <c r="BH265">
        <v>107.081187816349</v>
      </c>
      <c r="BI265">
        <v>107.31811504096299</v>
      </c>
      <c r="BJ265">
        <v>106.41046454072401</v>
      </c>
      <c r="BK265">
        <v>103.775300035196</v>
      </c>
      <c r="BL265">
        <v>103.104626360701</v>
      </c>
      <c r="BM265">
        <v>101.99483481315301</v>
      </c>
      <c r="BN265">
        <v>104.730628904914</v>
      </c>
      <c r="BO265">
        <v>103.30974754162</v>
      </c>
      <c r="BP265">
        <v>101.61702064134801</v>
      </c>
      <c r="BQ265">
        <v>101.043324329961</v>
      </c>
    </row>
    <row r="266" spans="1:70" x14ac:dyDescent="0.3">
      <c r="A266" t="s">
        <v>143</v>
      </c>
      <c r="B266" t="s">
        <v>361</v>
      </c>
      <c r="C266" t="s">
        <v>544</v>
      </c>
      <c r="D266" t="s">
        <v>545</v>
      </c>
    </row>
    <row r="267" spans="1:70" x14ac:dyDescent="0.3">
      <c r="A267" t="s">
        <v>250</v>
      </c>
      <c r="B267" t="s">
        <v>474</v>
      </c>
      <c r="C267" t="s">
        <v>544</v>
      </c>
      <c r="D267" t="s">
        <v>545</v>
      </c>
      <c r="AR267">
        <v>63.515220642089801</v>
      </c>
      <c r="AT267">
        <v>68.985160827636705</v>
      </c>
      <c r="AU267">
        <v>71.054298400878906</v>
      </c>
      <c r="AV267">
        <v>74.386329650878906</v>
      </c>
      <c r="AW267">
        <v>77.449569702148395</v>
      </c>
      <c r="AX267">
        <v>79.416557312011705</v>
      </c>
      <c r="BA267">
        <v>77.919593811035199</v>
      </c>
      <c r="BC267">
        <v>77.855758666992202</v>
      </c>
      <c r="BD267">
        <v>80.809478759765597</v>
      </c>
      <c r="BE267">
        <v>79.963249206542997</v>
      </c>
      <c r="BF267">
        <v>82.073089599609403</v>
      </c>
      <c r="BI267">
        <v>76.975379943847699</v>
      </c>
    </row>
    <row r="268" spans="1:70" x14ac:dyDescent="0.3">
      <c r="A268" t="s">
        <v>434</v>
      </c>
      <c r="B268" t="s">
        <v>435</v>
      </c>
      <c r="C268" t="s">
        <v>544</v>
      </c>
      <c r="D268" t="s">
        <v>545</v>
      </c>
      <c r="O268">
        <v>100.113403320312</v>
      </c>
      <c r="T268">
        <v>100.43585968017599</v>
      </c>
      <c r="V268">
        <v>88.185691833496094</v>
      </c>
      <c r="W268">
        <v>81.968132019042997</v>
      </c>
      <c r="X268">
        <v>82.052108764648395</v>
      </c>
      <c r="Z268">
        <v>82.492080688476605</v>
      </c>
      <c r="AA268">
        <v>80.313217163085895</v>
      </c>
      <c r="AE268">
        <v>79.084930419921903</v>
      </c>
      <c r="AF268">
        <v>80.405296325683594</v>
      </c>
      <c r="AG268">
        <v>80.846366882324205</v>
      </c>
      <c r="AH268">
        <v>105.28379058837901</v>
      </c>
      <c r="AI268">
        <v>104.66803741455099</v>
      </c>
      <c r="AJ268">
        <v>103.930038452148</v>
      </c>
      <c r="AM268">
        <v>102.505897521973</v>
      </c>
      <c r="AN268">
        <v>101.34245300293</v>
      </c>
      <c r="AP268">
        <v>98.260597229003906</v>
      </c>
      <c r="AQ268">
        <v>97.494842529296903</v>
      </c>
      <c r="AR268">
        <v>97.427276611328097</v>
      </c>
      <c r="AS268">
        <v>92.567398071289105</v>
      </c>
      <c r="AT268">
        <v>93.355850219726605</v>
      </c>
      <c r="AU268">
        <v>95.7393798828125</v>
      </c>
      <c r="AV268">
        <v>96.928688049316406</v>
      </c>
      <c r="AW268">
        <v>97.816818237304702</v>
      </c>
      <c r="AX268">
        <v>97.532676696777301</v>
      </c>
      <c r="AY268">
        <v>98.623550415039105</v>
      </c>
      <c r="AZ268">
        <v>101.155158996582</v>
      </c>
      <c r="BA268">
        <v>102.36882019043</v>
      </c>
      <c r="BB268">
        <v>102.598709106445</v>
      </c>
      <c r="BC268">
        <v>103.439766353826</v>
      </c>
      <c r="BD268">
        <v>104.046046582293</v>
      </c>
      <c r="BE268">
        <v>104.707209964618</v>
      </c>
      <c r="BF268">
        <v>104.09108518307499</v>
      </c>
      <c r="BG268">
        <v>104.19802363316199</v>
      </c>
      <c r="BH268">
        <v>107.31211891045</v>
      </c>
      <c r="BI268">
        <v>103.41821747435399</v>
      </c>
      <c r="BJ268">
        <v>101.58008447832199</v>
      </c>
      <c r="BK268">
        <v>100.424313489355</v>
      </c>
      <c r="BL268">
        <v>101.12046391054299</v>
      </c>
      <c r="BM268">
        <v>101.300342707463</v>
      </c>
      <c r="BN268">
        <v>101.741377795018</v>
      </c>
      <c r="BO268">
        <v>102.40238676628699</v>
      </c>
      <c r="BP268">
        <v>101.772235793474</v>
      </c>
    </row>
    <row r="269" spans="1:70" x14ac:dyDescent="0.3">
      <c r="A269" t="s">
        <v>251</v>
      </c>
      <c r="B269" t="s">
        <v>475</v>
      </c>
      <c r="C269" t="s">
        <v>544</v>
      </c>
      <c r="D269" t="s">
        <v>545</v>
      </c>
      <c r="O269">
        <v>85.697929382324205</v>
      </c>
      <c r="P269">
        <v>86.9798583984375</v>
      </c>
      <c r="Q269">
        <v>89.5780029296875</v>
      </c>
      <c r="R269">
        <v>90.145988464355497</v>
      </c>
      <c r="S269">
        <v>92.264907836914105</v>
      </c>
      <c r="T269">
        <v>90.627296447753906</v>
      </c>
      <c r="U269">
        <v>91.070571899414105</v>
      </c>
      <c r="V269">
        <v>90.712150573730497</v>
      </c>
      <c r="W269">
        <v>90.065879821777301</v>
      </c>
      <c r="X269">
        <v>89.729431152343807</v>
      </c>
      <c r="Y269">
        <v>90.439491271972699</v>
      </c>
      <c r="Z269">
        <v>89.800422668457003</v>
      </c>
      <c r="AA269">
        <v>90.521438598632798</v>
      </c>
      <c r="AB269">
        <v>93.014732360839801</v>
      </c>
      <c r="AC269">
        <v>95.289596557617202</v>
      </c>
      <c r="AD269">
        <v>98.290809631347699</v>
      </c>
      <c r="AE269">
        <v>97.552543640136705</v>
      </c>
      <c r="AF269">
        <v>95.957130432128906</v>
      </c>
      <c r="AG269">
        <v>96.096527099609403</v>
      </c>
      <c r="AH269">
        <v>95.342857360839801</v>
      </c>
      <c r="AI269">
        <v>94.284431457519503</v>
      </c>
      <c r="AJ269">
        <v>95.336982727050795</v>
      </c>
      <c r="AM269">
        <v>88.660217285156193</v>
      </c>
      <c r="AN269">
        <v>86.309829711914105</v>
      </c>
      <c r="AO269">
        <v>84.714027404785199</v>
      </c>
      <c r="AQ269">
        <v>82.668571472167997</v>
      </c>
      <c r="AR269">
        <v>80.559196472167997</v>
      </c>
      <c r="AS269">
        <v>80.370071411132798</v>
      </c>
      <c r="AT269">
        <v>80.172012329101605</v>
      </c>
      <c r="AU269">
        <v>83.158683776855497</v>
      </c>
      <c r="AW269">
        <v>102.25473785400401</v>
      </c>
      <c r="AX269">
        <v>113.556289672852</v>
      </c>
      <c r="AY269">
        <v>114.722457885742</v>
      </c>
      <c r="AZ269">
        <v>115.84359741210901</v>
      </c>
      <c r="BA269">
        <v>117.088676452637</v>
      </c>
      <c r="BB269">
        <v>110.93385314941401</v>
      </c>
      <c r="BC269">
        <v>109.873668045679</v>
      </c>
      <c r="BD269">
        <v>111.4007333775</v>
      </c>
      <c r="BE269">
        <v>111.618507192772</v>
      </c>
      <c r="BF269">
        <v>105.88755640154</v>
      </c>
      <c r="BG269">
        <v>107.06889082465</v>
      </c>
      <c r="BH269">
        <v>103.413818253854</v>
      </c>
      <c r="BI269">
        <v>99.571557751111797</v>
      </c>
      <c r="BJ269">
        <v>98.795003527919306</v>
      </c>
      <c r="BQ269">
        <v>115.550919335782</v>
      </c>
    </row>
    <row r="270" spans="1:70" x14ac:dyDescent="0.3">
      <c r="A270" t="s">
        <v>252</v>
      </c>
      <c r="B270" t="s">
        <v>476</v>
      </c>
      <c r="C270" t="s">
        <v>544</v>
      </c>
      <c r="D270" t="s">
        <v>545</v>
      </c>
      <c r="O270">
        <v>71.465881347656193</v>
      </c>
      <c r="P270">
        <v>65.865020751953097</v>
      </c>
      <c r="Q270">
        <v>69.561790466308594</v>
      </c>
      <c r="R270">
        <v>70.655189514160199</v>
      </c>
      <c r="S270">
        <v>72.425849914550795</v>
      </c>
      <c r="T270">
        <v>72.588546752929702</v>
      </c>
      <c r="U270">
        <v>72.207389831542997</v>
      </c>
      <c r="V270">
        <v>70.886726379394503</v>
      </c>
      <c r="W270">
        <v>64.669898986816406</v>
      </c>
      <c r="X270">
        <v>64.674201965332003</v>
      </c>
      <c r="Y270">
        <v>92.9063720703125</v>
      </c>
      <c r="Z270">
        <v>115.13185119628901</v>
      </c>
      <c r="AA270">
        <v>124.15843200683599</v>
      </c>
      <c r="AB270">
        <v>128.46624755859401</v>
      </c>
      <c r="AC270">
        <v>129.08013916015599</v>
      </c>
      <c r="AD270">
        <v>129.18980407714801</v>
      </c>
      <c r="AE270">
        <v>127.25357055664099</v>
      </c>
      <c r="AF270">
        <v>118.562850952148</v>
      </c>
      <c r="AG270">
        <v>108.99021148681599</v>
      </c>
      <c r="AH270">
        <v>105.42462158203099</v>
      </c>
      <c r="AI270">
        <v>97.207130432128906</v>
      </c>
      <c r="AJ270">
        <v>102.512809753418</v>
      </c>
      <c r="AK270">
        <v>101.05291748046901</v>
      </c>
      <c r="AL270">
        <v>96.047660827636705</v>
      </c>
      <c r="AN270">
        <v>101.23664855957</v>
      </c>
      <c r="AO270">
        <v>103.49054718017599</v>
      </c>
      <c r="AP270">
        <v>106.280197143555</v>
      </c>
      <c r="AQ270">
        <v>107.43229675293</v>
      </c>
      <c r="AR270">
        <v>108.80462646484401</v>
      </c>
      <c r="AS270">
        <v>112.045486450195</v>
      </c>
      <c r="AT270">
        <v>116.904830932617</v>
      </c>
      <c r="AU270">
        <v>111.599563598633</v>
      </c>
      <c r="AV270">
        <v>109.80422210693401</v>
      </c>
      <c r="BE270">
        <v>100.09812912727</v>
      </c>
      <c r="BF270">
        <v>99.172638763985304</v>
      </c>
      <c r="BG270">
        <v>98.247814387167395</v>
      </c>
      <c r="BH270">
        <v>97.229074781917902</v>
      </c>
      <c r="BI270">
        <v>95.734094695840398</v>
      </c>
      <c r="BJ270">
        <v>94.334172882218596</v>
      </c>
      <c r="BK270">
        <v>93.755201992061998</v>
      </c>
      <c r="BL270">
        <v>93.427096715423801</v>
      </c>
      <c r="BM270">
        <v>93.612585563932498</v>
      </c>
      <c r="BN270">
        <v>92.784690581579099</v>
      </c>
      <c r="BO270">
        <v>93.165965873193699</v>
      </c>
      <c r="BP270">
        <v>93.238378774293807</v>
      </c>
      <c r="BQ270">
        <v>93.077211033441401</v>
      </c>
    </row>
  </sheetData>
  <autoFilter ref="A4:BR4" xr:uid="{D968566C-7176-44D1-8282-40E10C91942A}"/>
  <pageMargins left="0.7" right="0.7" top="0.75" bottom="0.75" header="0.3" footer="0.3"/>
  <headerFooter alignWithMargins="0">
    <oddFooter>&amp;R_x000D_&amp;1#&amp;"Aptos"&amp;10&amp;K000000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3709e45d-35e4-4fe0-8bfe-5b23fcbe67f6" xsi:nil="true"/>
    <lcf76f155ced4ddcb4097134ff3c332f xmlns="f3a364aa-5001-40c5-a75d-d40f617f72d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B67DEE85752748A2FA32AFE80B0CB9" ma:contentTypeVersion="18" ma:contentTypeDescription="Create a new document." ma:contentTypeScope="" ma:versionID="7faff0db1814ae619faac97405dead82">
  <xsd:schema xmlns:xsd="http://www.w3.org/2001/XMLSchema" xmlns:xs="http://www.w3.org/2001/XMLSchema" xmlns:p="http://schemas.microsoft.com/office/2006/metadata/properties" xmlns:ns1="http://schemas.microsoft.com/sharepoint/v3" xmlns:ns2="f3a364aa-5001-40c5-a75d-d40f617f72d3" xmlns:ns3="3709e45d-35e4-4fe0-8bfe-5b23fcbe67f6" targetNamespace="http://schemas.microsoft.com/office/2006/metadata/properties" ma:root="true" ma:fieldsID="dfdcf634f4b83141756b0f28ef757e6b" ns1:_="" ns2:_="" ns3:_="">
    <xsd:import namespace="http://schemas.microsoft.com/sharepoint/v3"/>
    <xsd:import namespace="f3a364aa-5001-40c5-a75d-d40f617f72d3"/>
    <xsd:import namespace="3709e45d-35e4-4fe0-8bfe-5b23fcbe67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364aa-5001-40c5-a75d-d40f617f7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09e45d-35e4-4fe0-8bfe-5b23fcbe67f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8bf4746-318a-43c4-b879-a8bb21239ac1}" ma:internalName="TaxCatchAll" ma:showField="CatchAllData" ma:web="3709e45d-35e4-4fe0-8bfe-5b23fcbe67f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1FAFC0-CE80-4EF7-814C-7F3971D4D5EE}">
  <ds:schemaRefs>
    <ds:schemaRef ds:uri="http://schemas.microsoft.com/office/2006/metadata/properties"/>
    <ds:schemaRef ds:uri="http://schemas.microsoft.com/office/infopath/2007/PartnerControls"/>
    <ds:schemaRef ds:uri="http://schemas.microsoft.com/sharepoint/v3"/>
    <ds:schemaRef ds:uri="3709e45d-35e4-4fe0-8bfe-5b23fcbe67f6"/>
    <ds:schemaRef ds:uri="f3a364aa-5001-40c5-a75d-d40f617f72d3"/>
  </ds:schemaRefs>
</ds:datastoreItem>
</file>

<file path=customXml/itemProps2.xml><?xml version="1.0" encoding="utf-8"?>
<ds:datastoreItem xmlns:ds="http://schemas.openxmlformats.org/officeDocument/2006/customXml" ds:itemID="{46B3E432-1829-4051-9E51-5A69D76D09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a364aa-5001-40c5-a75d-d40f617f72d3"/>
    <ds:schemaRef ds:uri="3709e45d-35e4-4fe0-8bfe-5b23fcbe67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C99971-9E03-46B9-AD6A-A44CD74A75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4A. Figure A</vt:lpstr>
      <vt:lpstr>4B. Figure B </vt:lpstr>
      <vt:lpstr>4C. Figure C </vt:lpstr>
      <vt:lpstr>Back End&gt;&gt;</vt:lpstr>
      <vt:lpstr>Pivot tables</vt:lpstr>
      <vt:lpstr>Pivot fig 4A</vt:lpstr>
      <vt:lpstr>Pivot 4B</vt:lpstr>
      <vt:lpstr>Pivot 4C</vt:lpstr>
      <vt:lpstr>Combined Data</vt:lpstr>
      <vt:lpstr>Region &amp; Income Labels</vt:lpstr>
      <vt:lpstr>Sheet1</vt:lpstr>
      <vt:lpstr>Raw Data</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Maryam Gul</dc:creator>
  <cp:keywords/>
  <dc:description/>
  <cp:lastModifiedBy>Ogbeche michael</cp:lastModifiedBy>
  <cp:revision/>
  <dcterms:created xsi:type="dcterms:W3CDTF">2026-03-23T03:56:32Z</dcterms:created>
  <dcterms:modified xsi:type="dcterms:W3CDTF">2026-10-16T15:21:52Z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2026-03-23T04:02:17Z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3b91853a-98f6-4330-95b3-dc7677018835</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y fmtid="{D5CDD505-2E9C-101B-9397-08002B2CF9AE}" pid="10" name="ContentTypeId">
    <vt:lpwstr>0x01010026B67DEE85752748A2FA32AFE80B0CB9</vt:lpwstr>
  </property>
  <property fmtid="{D5CDD505-2E9C-101B-9397-08002B2CF9AE}" pid="11" name="MediaServiceImageTags">
    <vt:lpwstr/>
  </property>
</Properties>
</file>